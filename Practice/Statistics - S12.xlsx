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DF6C143D-B42A-474A-94DE-006BC7BDA061}" xr6:coauthVersionLast="47" xr6:coauthVersionMax="47" xr10:uidLastSave="{00000000-0000-0000-0000-000000000000}"/>
  <bookViews>
    <workbookView xWindow="-108" yWindow="-108" windowWidth="23256" windowHeight="12456" xr2:uid="{2CE1C7DF-2A95-4216-83C5-1DE401FE1FA2}"/>
  </bookViews>
  <sheets>
    <sheet name="S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9" i="1" l="1"/>
  <c r="E48" i="1"/>
  <c r="E47" i="1"/>
  <c r="E46" i="1"/>
  <c r="E45" i="1"/>
  <c r="E44" i="1"/>
  <c r="G32" i="1"/>
  <c r="F32" i="1"/>
  <c r="E32" i="1"/>
  <c r="D32" i="1"/>
  <c r="C32" i="1"/>
  <c r="F20" i="1"/>
  <c r="E20" i="1"/>
  <c r="D20" i="1"/>
  <c r="C20" i="1"/>
  <c r="F12" i="1"/>
  <c r="E12" i="1"/>
  <c r="D12" i="1"/>
  <c r="C12" i="1"/>
  <c r="C4" i="1"/>
</calcChain>
</file>

<file path=xl/sharedStrings.xml><?xml version="1.0" encoding="utf-8"?>
<sst xmlns="http://schemas.openxmlformats.org/spreadsheetml/2006/main" count="34" uniqueCount="27">
  <si>
    <t>Q</t>
  </si>
  <si>
    <t>Calculate the Mean</t>
  </si>
  <si>
    <t>Value</t>
  </si>
  <si>
    <t>Mean</t>
  </si>
  <si>
    <t>Complete Statistical Analysis</t>
  </si>
  <si>
    <t>Median</t>
  </si>
  <si>
    <t>Var.p</t>
  </si>
  <si>
    <t>Stdev.p</t>
  </si>
  <si>
    <t>Quartiles &amp; IQR</t>
  </si>
  <si>
    <t>Q1</t>
  </si>
  <si>
    <t>Q2</t>
  </si>
  <si>
    <t>Q3</t>
  </si>
  <si>
    <t>IQR</t>
  </si>
  <si>
    <t>Outlier Detection</t>
  </si>
  <si>
    <t>Lower fence</t>
  </si>
  <si>
    <t>Upper fence</t>
  </si>
  <si>
    <t xml:space="preserve">Yes, 110 is outlier because of it is greater than upper range </t>
  </si>
  <si>
    <t>Frequency Table</t>
  </si>
  <si>
    <t>Ages</t>
  </si>
  <si>
    <t>Age Group</t>
  </si>
  <si>
    <t>Frequency</t>
  </si>
  <si>
    <t>18–29</t>
  </si>
  <si>
    <t>30–39</t>
  </si>
  <si>
    <t>40–49</t>
  </si>
  <si>
    <t>50–59</t>
  </si>
  <si>
    <t>60–69</t>
  </si>
  <si>
    <t>70–79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</si>
</sst>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EDD15-BD40-418F-B288-3A8FB2DAAE6E}">
  <dimension ref="A1:G72"/>
  <sheetViews>
    <sheetView tabSelected="1" topLeftCell="A61" zoomScale="175" zoomScaleNormal="175" workbookViewId="0">
      <selection activeCell="D69" sqref="D69"/>
    </sheetView>
  </sheetViews>
  <sheetFormatPr defaultRowHeight="15.6" x14ac:dyDescent="0.3"/>
  <cols>
    <col min="1" max="3" width="8.88671875" style="5"/>
    <col min="4" max="4" width="11.77734375" style="5" bestFit="1" customWidth="1"/>
    <col min="5" max="5" width="11.5546875" style="5" bestFit="1" customWidth="1"/>
    <col min="6" max="6" width="12.21875" style="5" bestFit="1" customWidth="1"/>
    <col min="7" max="7" width="12.33203125" style="5" bestFit="1" customWidth="1"/>
    <col min="8" max="16384" width="8.88671875" style="5"/>
  </cols>
  <sheetData>
    <row r="1" spans="1:6" x14ac:dyDescent="0.3">
      <c r="A1" s="5" t="s">
        <v>0</v>
      </c>
    </row>
    <row r="2" spans="1:6" x14ac:dyDescent="0.3">
      <c r="A2" s="5">
        <v>2</v>
      </c>
      <c r="B2" s="6" t="s">
        <v>1</v>
      </c>
    </row>
    <row r="3" spans="1:6" x14ac:dyDescent="0.3">
      <c r="B3" s="8" t="s">
        <v>2</v>
      </c>
      <c r="C3" s="12" t="s">
        <v>3</v>
      </c>
    </row>
    <row r="4" spans="1:6" x14ac:dyDescent="0.3">
      <c r="B4" s="10">
        <v>16</v>
      </c>
      <c r="C4" s="11">
        <f>AVERAGE(B4:B8)</f>
        <v>24</v>
      </c>
    </row>
    <row r="5" spans="1:6" x14ac:dyDescent="0.3">
      <c r="B5" s="10">
        <v>20</v>
      </c>
    </row>
    <row r="6" spans="1:6" x14ac:dyDescent="0.3">
      <c r="B6" s="10">
        <v>24</v>
      </c>
    </row>
    <row r="7" spans="1:6" x14ac:dyDescent="0.3">
      <c r="B7" s="10">
        <v>28</v>
      </c>
    </row>
    <row r="8" spans="1:6" x14ac:dyDescent="0.3">
      <c r="B8" s="10">
        <v>32</v>
      </c>
    </row>
    <row r="10" spans="1:6" ht="16.2" thickBot="1" x14ac:dyDescent="0.35">
      <c r="A10" s="5">
        <v>3</v>
      </c>
      <c r="B10" s="6" t="s">
        <v>4</v>
      </c>
    </row>
    <row r="11" spans="1:6" ht="16.2" thickBot="1" x14ac:dyDescent="0.35">
      <c r="B11" s="13" t="s">
        <v>2</v>
      </c>
      <c r="C11" s="15" t="s">
        <v>3</v>
      </c>
      <c r="D11" s="15" t="s">
        <v>5</v>
      </c>
      <c r="E11" s="15" t="s">
        <v>6</v>
      </c>
      <c r="F11" s="15" t="s">
        <v>7</v>
      </c>
    </row>
    <row r="12" spans="1:6" ht="16.2" thickBot="1" x14ac:dyDescent="0.35">
      <c r="B12" s="14">
        <v>22</v>
      </c>
      <c r="C12" s="9">
        <f>AVERAGE(B12:B16)</f>
        <v>30</v>
      </c>
      <c r="D12" s="9">
        <f>MEDIAN(B12:B16)</f>
        <v>30</v>
      </c>
      <c r="E12" s="9">
        <f>_xlfn.VAR.P(B12:B16)</f>
        <v>32</v>
      </c>
      <c r="F12" s="9">
        <f>_xlfn.STDEV.P(B12:B16)</f>
        <v>5.6568542494923806</v>
      </c>
    </row>
    <row r="13" spans="1:6" ht="16.2" thickBot="1" x14ac:dyDescent="0.35">
      <c r="B13" s="2">
        <v>26</v>
      </c>
    </row>
    <row r="14" spans="1:6" ht="16.2" thickBot="1" x14ac:dyDescent="0.35">
      <c r="B14" s="2">
        <v>30</v>
      </c>
    </row>
    <row r="15" spans="1:6" ht="16.2" thickBot="1" x14ac:dyDescent="0.35">
      <c r="B15" s="2">
        <v>34</v>
      </c>
    </row>
    <row r="16" spans="1:6" ht="16.2" thickBot="1" x14ac:dyDescent="0.35">
      <c r="B16" s="2">
        <v>38</v>
      </c>
    </row>
    <row r="18" spans="1:7" ht="16.2" thickBot="1" x14ac:dyDescent="0.35">
      <c r="A18" s="5">
        <v>4</v>
      </c>
      <c r="B18" s="6" t="s">
        <v>8</v>
      </c>
    </row>
    <row r="19" spans="1:7" ht="16.2" thickBot="1" x14ac:dyDescent="0.35">
      <c r="B19" s="13" t="s">
        <v>2</v>
      </c>
      <c r="C19" s="15" t="s">
        <v>9</v>
      </c>
      <c r="D19" s="15" t="s">
        <v>10</v>
      </c>
      <c r="E19" s="15" t="s">
        <v>11</v>
      </c>
      <c r="F19" s="15" t="s">
        <v>12</v>
      </c>
    </row>
    <row r="20" spans="1:7" ht="16.2" thickBot="1" x14ac:dyDescent="0.35">
      <c r="B20" s="14">
        <v>12</v>
      </c>
      <c r="C20" s="9">
        <f>_xlfn.QUARTILE.INC($B$20:$B$28,1)</f>
        <v>18</v>
      </c>
      <c r="D20" s="9">
        <f>_xlfn.QUARTILE.INC($B$20:$B$28,2)</f>
        <v>24</v>
      </c>
      <c r="E20" s="9">
        <f>_xlfn.QUARTILE.INC($B$20:$B$28,3)</f>
        <v>30</v>
      </c>
      <c r="F20" s="9">
        <f>E20-C20</f>
        <v>12</v>
      </c>
    </row>
    <row r="21" spans="1:7" ht="16.2" thickBot="1" x14ac:dyDescent="0.35">
      <c r="B21" s="2">
        <v>15</v>
      </c>
    </row>
    <row r="22" spans="1:7" ht="16.2" thickBot="1" x14ac:dyDescent="0.35">
      <c r="B22" s="2">
        <v>18</v>
      </c>
    </row>
    <row r="23" spans="1:7" ht="16.2" thickBot="1" x14ac:dyDescent="0.35">
      <c r="B23" s="2">
        <v>21</v>
      </c>
    </row>
    <row r="24" spans="1:7" ht="16.2" thickBot="1" x14ac:dyDescent="0.35">
      <c r="B24" s="2">
        <v>24</v>
      </c>
    </row>
    <row r="25" spans="1:7" ht="16.2" thickBot="1" x14ac:dyDescent="0.35">
      <c r="B25" s="2">
        <v>27</v>
      </c>
    </row>
    <row r="26" spans="1:7" ht="16.2" thickBot="1" x14ac:dyDescent="0.35">
      <c r="B26" s="2">
        <v>30</v>
      </c>
    </row>
    <row r="27" spans="1:7" ht="16.2" thickBot="1" x14ac:dyDescent="0.35">
      <c r="B27" s="2">
        <v>33</v>
      </c>
    </row>
    <row r="28" spans="1:7" ht="16.2" thickBot="1" x14ac:dyDescent="0.35">
      <c r="B28" s="2">
        <v>36</v>
      </c>
    </row>
    <row r="30" spans="1:7" ht="16.2" thickBot="1" x14ac:dyDescent="0.35">
      <c r="A30" s="5">
        <v>5</v>
      </c>
      <c r="B30" s="6" t="s">
        <v>13</v>
      </c>
    </row>
    <row r="31" spans="1:7" ht="16.2" thickBot="1" x14ac:dyDescent="0.35">
      <c r="B31" s="13" t="s">
        <v>2</v>
      </c>
      <c r="C31" s="15" t="s">
        <v>9</v>
      </c>
      <c r="D31" s="15" t="s">
        <v>11</v>
      </c>
      <c r="E31" s="15" t="s">
        <v>12</v>
      </c>
      <c r="F31" s="15" t="s">
        <v>14</v>
      </c>
      <c r="G31" s="15" t="s">
        <v>15</v>
      </c>
    </row>
    <row r="32" spans="1:7" ht="16.2" thickBot="1" x14ac:dyDescent="0.35">
      <c r="B32" s="14">
        <v>40</v>
      </c>
      <c r="C32" s="9">
        <f>_xlfn.QUARTILE.INC(B32:B40,1)</f>
        <v>44</v>
      </c>
      <c r="D32" s="9">
        <f>_xlfn.QUARTILE.INC(B32:B40,3)</f>
        <v>52</v>
      </c>
      <c r="E32" s="9">
        <f>D32-C32</f>
        <v>8</v>
      </c>
      <c r="F32" s="9">
        <f>C32-(1.5*E32)</f>
        <v>32</v>
      </c>
      <c r="G32" s="9">
        <f>D32+(1.5*E32)</f>
        <v>64</v>
      </c>
    </row>
    <row r="33" spans="1:5" ht="16.2" thickBot="1" x14ac:dyDescent="0.35">
      <c r="B33" s="2">
        <v>42</v>
      </c>
    </row>
    <row r="34" spans="1:5" ht="16.2" thickBot="1" x14ac:dyDescent="0.35">
      <c r="B34" s="2">
        <v>44</v>
      </c>
    </row>
    <row r="35" spans="1:5" ht="16.2" thickBot="1" x14ac:dyDescent="0.35">
      <c r="B35" s="2">
        <v>46</v>
      </c>
    </row>
    <row r="36" spans="1:5" ht="16.2" thickBot="1" x14ac:dyDescent="0.35">
      <c r="B36" s="2">
        <v>48</v>
      </c>
    </row>
    <row r="37" spans="1:5" ht="16.2" thickBot="1" x14ac:dyDescent="0.35">
      <c r="B37" s="2">
        <v>50</v>
      </c>
      <c r="D37" s="7" t="s">
        <v>16</v>
      </c>
    </row>
    <row r="38" spans="1:5" ht="16.2" thickBot="1" x14ac:dyDescent="0.35">
      <c r="B38" s="2">
        <v>52</v>
      </c>
    </row>
    <row r="39" spans="1:5" ht="16.2" thickBot="1" x14ac:dyDescent="0.35">
      <c r="B39" s="2">
        <v>54</v>
      </c>
    </row>
    <row r="40" spans="1:5" ht="16.2" thickBot="1" x14ac:dyDescent="0.35">
      <c r="B40" s="2">
        <v>110</v>
      </c>
    </row>
    <row r="42" spans="1:5" ht="16.2" thickBot="1" x14ac:dyDescent="0.35">
      <c r="A42" s="5">
        <v>6</v>
      </c>
      <c r="B42" s="6" t="s">
        <v>17</v>
      </c>
    </row>
    <row r="43" spans="1:5" ht="16.2" thickBot="1" x14ac:dyDescent="0.35">
      <c r="B43" s="1" t="s">
        <v>18</v>
      </c>
      <c r="D43" s="3" t="s">
        <v>19</v>
      </c>
      <c r="E43" s="3" t="s">
        <v>20</v>
      </c>
    </row>
    <row r="44" spans="1:5" ht="16.2" thickBot="1" x14ac:dyDescent="0.35">
      <c r="B44" s="2">
        <v>18</v>
      </c>
      <c r="D44" s="2" t="s">
        <v>21</v>
      </c>
      <c r="E44" s="2">
        <f>COUNTIFS($B$44:$B$68,"&gt;=18",$B$44:$B$68,"&lt;=29")</f>
        <v>6</v>
      </c>
    </row>
    <row r="45" spans="1:5" ht="16.2" thickBot="1" x14ac:dyDescent="0.35">
      <c r="B45" s="2">
        <v>21</v>
      </c>
      <c r="D45" s="2" t="s">
        <v>22</v>
      </c>
      <c r="E45" s="2">
        <f>COUNTIFS($B$44:$B$68,"&gt;=30",$B$44:$B$68,"&lt;=39")</f>
        <v>5</v>
      </c>
    </row>
    <row r="46" spans="1:5" ht="16.2" thickBot="1" x14ac:dyDescent="0.35">
      <c r="B46" s="2">
        <v>23</v>
      </c>
      <c r="D46" s="2" t="s">
        <v>23</v>
      </c>
      <c r="E46" s="2">
        <f>COUNTIFS($B$44:$B$68,"&gt;=40",$B$44:$B$68,"&lt;=49")</f>
        <v>5</v>
      </c>
    </row>
    <row r="47" spans="1:5" ht="16.2" thickBot="1" x14ac:dyDescent="0.35">
      <c r="B47" s="2">
        <v>24</v>
      </c>
      <c r="D47" s="2" t="s">
        <v>24</v>
      </c>
      <c r="E47" s="2">
        <f>COUNTIFS($B$44:$B$68,"&gt;=50",$B$44:$B$68,"&lt;=59")</f>
        <v>4</v>
      </c>
    </row>
    <row r="48" spans="1:5" ht="16.2" thickBot="1" x14ac:dyDescent="0.35">
      <c r="B48" s="2">
        <v>26</v>
      </c>
      <c r="D48" s="2" t="s">
        <v>25</v>
      </c>
      <c r="E48" s="2">
        <f>COUNTIFS($B$44:$B$68,"&gt;=60",$B$44:$B$68,"&lt;=69")</f>
        <v>4</v>
      </c>
    </row>
    <row r="49" spans="2:5" ht="16.2" thickBot="1" x14ac:dyDescent="0.35">
      <c r="B49" s="2">
        <v>28</v>
      </c>
      <c r="D49" s="2" t="s">
        <v>26</v>
      </c>
      <c r="E49" s="2">
        <f>COUNTIFS($B$44:$B$68,"&gt;=70",$B$44:$B$68,"&lt;=79")</f>
        <v>1</v>
      </c>
    </row>
    <row r="50" spans="2:5" ht="16.2" thickBot="1" x14ac:dyDescent="0.35">
      <c r="B50" s="2">
        <v>31</v>
      </c>
    </row>
    <row r="51" spans="2:5" ht="16.2" thickBot="1" x14ac:dyDescent="0.35">
      <c r="B51" s="2">
        <v>33</v>
      </c>
    </row>
    <row r="52" spans="2:5" ht="16.2" thickBot="1" x14ac:dyDescent="0.35">
      <c r="B52" s="2">
        <v>35</v>
      </c>
    </row>
    <row r="53" spans="2:5" ht="16.2" thickBot="1" x14ac:dyDescent="0.35">
      <c r="B53" s="2">
        <v>36</v>
      </c>
    </row>
    <row r="54" spans="2:5" ht="16.2" thickBot="1" x14ac:dyDescent="0.35">
      <c r="B54" s="2">
        <v>38</v>
      </c>
    </row>
    <row r="55" spans="2:5" ht="16.2" thickBot="1" x14ac:dyDescent="0.35">
      <c r="B55" s="2">
        <v>41</v>
      </c>
    </row>
    <row r="56" spans="2:5" ht="16.2" thickBot="1" x14ac:dyDescent="0.35">
      <c r="B56" s="2">
        <v>43</v>
      </c>
    </row>
    <row r="57" spans="2:5" ht="16.2" thickBot="1" x14ac:dyDescent="0.35">
      <c r="B57" s="2">
        <v>45</v>
      </c>
    </row>
    <row r="58" spans="2:5" ht="16.2" thickBot="1" x14ac:dyDescent="0.35">
      <c r="B58" s="2">
        <v>47</v>
      </c>
    </row>
    <row r="59" spans="2:5" ht="16.2" thickBot="1" x14ac:dyDescent="0.35">
      <c r="B59" s="2">
        <v>49</v>
      </c>
    </row>
    <row r="60" spans="2:5" ht="16.2" thickBot="1" x14ac:dyDescent="0.35">
      <c r="B60" s="2">
        <v>52</v>
      </c>
    </row>
    <row r="61" spans="2:5" ht="16.2" thickBot="1" x14ac:dyDescent="0.35">
      <c r="B61" s="2">
        <v>54</v>
      </c>
    </row>
    <row r="62" spans="2:5" ht="16.2" thickBot="1" x14ac:dyDescent="0.35">
      <c r="B62" s="2">
        <v>56</v>
      </c>
    </row>
    <row r="63" spans="2:5" ht="16.2" thickBot="1" x14ac:dyDescent="0.35">
      <c r="B63" s="2">
        <v>58</v>
      </c>
    </row>
    <row r="64" spans="2:5" ht="16.2" thickBot="1" x14ac:dyDescent="0.35">
      <c r="B64" s="2">
        <v>61</v>
      </c>
    </row>
    <row r="65" spans="2:2" ht="16.2" thickBot="1" x14ac:dyDescent="0.35">
      <c r="B65" s="2">
        <v>63</v>
      </c>
    </row>
    <row r="66" spans="2:2" ht="16.2" thickBot="1" x14ac:dyDescent="0.35">
      <c r="B66" s="2">
        <v>66</v>
      </c>
    </row>
    <row r="67" spans="2:2" ht="16.2" thickBot="1" x14ac:dyDescent="0.35">
      <c r="B67" s="2">
        <v>69</v>
      </c>
    </row>
    <row r="68" spans="2:2" ht="16.2" thickBot="1" x14ac:dyDescent="0.35">
      <c r="B68" s="2">
        <v>72</v>
      </c>
    </row>
    <row r="70" spans="2:2" x14ac:dyDescent="0.3">
      <c r="B70" s="4"/>
    </row>
    <row r="71" spans="2:2" x14ac:dyDescent="0.3">
      <c r="B71" s="4"/>
    </row>
    <row r="72" spans="2:2" x14ac:dyDescent="0.3">
      <c r="B7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2026-08-08T10:22:05Z</dcterms:created>
  <dcterms:modified xsi:type="dcterms:W3CDTF">2026-08-08T10:48:23Z</dcterms:modified>
</cp:coreProperties>
</file>