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D66A3748-E0E6-4DE8-B1CE-6913BF37B2D6}" xr6:coauthVersionLast="47" xr6:coauthVersionMax="47" xr10:uidLastSave="{00000000-0000-0000-0000-000000000000}"/>
  <bookViews>
    <workbookView xWindow="-108" yWindow="-108" windowWidth="23256" windowHeight="12456" xr2:uid="{E1B8AF37-3F3B-48FA-9AD6-0362F4A1A61A}"/>
  </bookViews>
  <sheets>
    <sheet name="S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0" i="1" l="1"/>
  <c r="D120" i="1"/>
  <c r="F81" i="1"/>
  <c r="E81" i="1"/>
  <c r="D81" i="1"/>
  <c r="F66" i="1"/>
  <c r="F65" i="1"/>
  <c r="F64" i="1"/>
  <c r="F63" i="1"/>
  <c r="F62" i="1"/>
  <c r="I53" i="1"/>
  <c r="H53" i="1"/>
  <c r="I52" i="1"/>
  <c r="H52" i="1"/>
  <c r="G42" i="1"/>
  <c r="G41" i="1"/>
  <c r="H33" i="1"/>
  <c r="G33" i="1"/>
  <c r="H32" i="1"/>
  <c r="G32" i="1"/>
  <c r="H31" i="1"/>
  <c r="G31" i="1"/>
  <c r="H30" i="1"/>
  <c r="G30" i="1"/>
  <c r="E21" i="1"/>
  <c r="D21" i="1"/>
  <c r="E5" i="1"/>
  <c r="E4" i="1"/>
</calcChain>
</file>

<file path=xl/sharedStrings.xml><?xml version="1.0" encoding="utf-8"?>
<sst xmlns="http://schemas.openxmlformats.org/spreadsheetml/2006/main" count="137" uniqueCount="75">
  <si>
    <t>Q</t>
  </si>
  <si>
    <t>Mean vs Median + Skewness</t>
  </si>
  <si>
    <t>Spending</t>
  </si>
  <si>
    <t>median</t>
  </si>
  <si>
    <t>right skewed</t>
  </si>
  <si>
    <t>because of outlier</t>
  </si>
  <si>
    <t>The large difference between mean and median suggests right-skewness, but it does not by itself prove that ₹6,500 is an outlier. An outlier test such as the IQR method is needed.</t>
  </si>
  <si>
    <t>SD vs CV: Manufacturing</t>
  </si>
  <si>
    <t>Factory</t>
  </si>
  <si>
    <t>Mean Production</t>
  </si>
  <si>
    <t>SD</t>
  </si>
  <si>
    <t>A</t>
  </si>
  <si>
    <t>B</t>
  </si>
  <si>
    <t>CV</t>
  </si>
  <si>
    <t>factory B</t>
  </si>
  <si>
    <t>factory A</t>
  </si>
  <si>
    <t>SD measures absolute variability, but the factories have very different production levels. CV accounts for the mean, so it gives a fairer comparison of relative consistency.</t>
  </si>
  <si>
    <t>Range vs IQR</t>
  </si>
  <si>
    <t>Store A</t>
  </si>
  <si>
    <t>Store B</t>
  </si>
  <si>
    <t>Range</t>
  </si>
  <si>
    <t>Q1</t>
  </si>
  <si>
    <t>Q3</t>
  </si>
  <si>
    <t>IQR</t>
  </si>
  <si>
    <t xml:space="preserve">because of range contains max value so data has outlier so range is becoming bigger but IQR is not affected to outlier because of it contains Q1 and Q3 </t>
  </si>
  <si>
    <t>Five Number Summary: Skewness</t>
  </si>
  <si>
    <t>Statistic</t>
  </si>
  <si>
    <t>Value</t>
  </si>
  <si>
    <t>Minimum</t>
  </si>
  <si>
    <t>Median</t>
  </si>
  <si>
    <t>Maximum</t>
  </si>
  <si>
    <t>LWL</t>
  </si>
  <si>
    <t>UWL</t>
  </si>
  <si>
    <t>right tail</t>
  </si>
  <si>
    <t>data is right skewed because of data has outlier and due to that upper whicker length become bigger so data is right side tail</t>
  </si>
  <si>
    <t>right skewness</t>
  </si>
  <si>
    <t>No, with out IQR we can't conclude that 75 is outlier</t>
  </si>
  <si>
    <t>Box Plot Business Comparison</t>
  </si>
  <si>
    <t>Dept A</t>
  </si>
  <si>
    <t>Dept B</t>
  </si>
  <si>
    <t>dept A</t>
  </si>
  <si>
    <t>dept B</t>
  </si>
  <si>
    <t>Outlier Detection + Business Decision</t>
  </si>
  <si>
    <t>Delivery times are</t>
  </si>
  <si>
    <t>Lower fence</t>
  </si>
  <si>
    <t>Upper fence</t>
  </si>
  <si>
    <t>Outlier</t>
  </si>
  <si>
    <t>mean become higher so median is gives better picture of data</t>
  </si>
  <si>
    <t>CV Ranking + Return Decision</t>
  </si>
  <si>
    <t>Investment</t>
  </si>
  <si>
    <t>Mean Return</t>
  </si>
  <si>
    <t>C</t>
  </si>
  <si>
    <t>Rank</t>
  </si>
  <si>
    <t>C,A=B</t>
  </si>
  <si>
    <t>investment C</t>
  </si>
  <si>
    <t>yes</t>
  </si>
  <si>
    <t>CV measures variability relative to the mean return. Since the investments have different average returns, CV provides a fairer comparison of consistency than SD alone.</t>
  </si>
  <si>
    <t>Mean vs Median: Don't Overclaim</t>
  </si>
  <si>
    <t>Platform</t>
  </si>
  <si>
    <t>Mean Order Value</t>
  </si>
  <si>
    <t>Median Order Value</t>
  </si>
  <si>
    <t>platform A</t>
  </si>
  <si>
    <t>platform B</t>
  </si>
  <si>
    <t>no</t>
  </si>
  <si>
    <t>Choose the Best Statistical Tool</t>
  </si>
  <si>
    <t>D</t>
  </si>
  <si>
    <t>E</t>
  </si>
  <si>
    <t>F</t>
  </si>
  <si>
    <t>G</t>
  </si>
  <si>
    <t>Box plot</t>
  </si>
  <si>
    <t>range</t>
  </si>
  <si>
    <t>mean</t>
  </si>
  <si>
    <t>Full Data Analyst Case</t>
  </si>
  <si>
    <t>No</t>
  </si>
  <si>
    <t>platfrom B is more consistent than platfrom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</si>
</sst>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6" fontId="0" fillId="0" borderId="0" xfId="0" applyNumberFormat="1"/>
    <xf numFmtId="6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F503-FD4B-4B1F-AB6B-A2968DC26EF6}">
  <dimension ref="A1:I129"/>
  <sheetViews>
    <sheetView tabSelected="1" topLeftCell="A55" zoomScale="175" zoomScaleNormal="175" workbookViewId="0">
      <selection activeCell="D130" sqref="D130"/>
    </sheetView>
  </sheetViews>
  <sheetFormatPr defaultRowHeight="14.4" x14ac:dyDescent="0.3"/>
  <cols>
    <col min="2" max="2" width="19.5546875" bestFit="1" customWidth="1"/>
    <col min="3" max="3" width="20" bestFit="1" customWidth="1"/>
    <col min="4" max="4" width="22" bestFit="1" customWidth="1"/>
  </cols>
  <sheetData>
    <row r="1" spans="1:5" x14ac:dyDescent="0.3">
      <c r="A1" t="s">
        <v>0</v>
      </c>
    </row>
    <row r="2" spans="1:5" ht="17.399999999999999" x14ac:dyDescent="0.35">
      <c r="A2">
        <v>1</v>
      </c>
      <c r="B2" s="1" t="s">
        <v>1</v>
      </c>
    </row>
    <row r="3" spans="1:5" ht="15" thickBot="1" x14ac:dyDescent="0.35"/>
    <row r="4" spans="1:5" ht="18" thickBot="1" x14ac:dyDescent="0.35">
      <c r="B4" s="5" t="s">
        <v>2</v>
      </c>
      <c r="D4">
        <v>1</v>
      </c>
      <c r="E4" s="3">
        <f>AVERAGE(B5:B12)</f>
        <v>1556.25</v>
      </c>
    </row>
    <row r="5" spans="1:5" ht="18" thickBot="1" x14ac:dyDescent="0.35">
      <c r="B5" s="4">
        <v>700</v>
      </c>
      <c r="D5">
        <v>2</v>
      </c>
      <c r="E5" s="3">
        <f>MEDIAN(B5:B12)</f>
        <v>875</v>
      </c>
    </row>
    <row r="6" spans="1:5" ht="18" thickBot="1" x14ac:dyDescent="0.35">
      <c r="B6" s="4">
        <v>750</v>
      </c>
      <c r="D6">
        <v>3</v>
      </c>
      <c r="E6" t="s">
        <v>3</v>
      </c>
    </row>
    <row r="7" spans="1:5" ht="18" thickBot="1" x14ac:dyDescent="0.35">
      <c r="B7" s="4">
        <v>800</v>
      </c>
      <c r="D7">
        <v>4</v>
      </c>
      <c r="E7" t="s">
        <v>4</v>
      </c>
    </row>
    <row r="8" spans="1:5" ht="18" thickBot="1" x14ac:dyDescent="0.35">
      <c r="B8" s="4">
        <v>850</v>
      </c>
      <c r="D8">
        <v>5</v>
      </c>
      <c r="E8" t="s">
        <v>5</v>
      </c>
    </row>
    <row r="9" spans="1:5" ht="18" thickBot="1" x14ac:dyDescent="0.35">
      <c r="B9" s="4">
        <v>900</v>
      </c>
      <c r="D9">
        <v>6</v>
      </c>
      <c r="E9" t="s">
        <v>6</v>
      </c>
    </row>
    <row r="10" spans="1:5" ht="18" thickBot="1" x14ac:dyDescent="0.35">
      <c r="B10" s="4">
        <v>950</v>
      </c>
    </row>
    <row r="11" spans="1:5" ht="18" thickBot="1" x14ac:dyDescent="0.35">
      <c r="B11" s="4">
        <v>1000</v>
      </c>
    </row>
    <row r="12" spans="1:5" ht="18" thickBot="1" x14ac:dyDescent="0.35">
      <c r="B12" s="4">
        <v>6500</v>
      </c>
    </row>
    <row r="14" spans="1:5" ht="17.399999999999999" x14ac:dyDescent="0.35">
      <c r="A14">
        <v>2</v>
      </c>
      <c r="B14" s="1" t="s">
        <v>7</v>
      </c>
    </row>
    <row r="15" spans="1:5" ht="15" thickBot="1" x14ac:dyDescent="0.35"/>
    <row r="16" spans="1:5" ht="18" thickBot="1" x14ac:dyDescent="0.35">
      <c r="B16" s="2" t="s">
        <v>8</v>
      </c>
      <c r="C16" s="5" t="s">
        <v>9</v>
      </c>
      <c r="D16" s="2" t="s">
        <v>10</v>
      </c>
    </row>
    <row r="17" spans="1:8" ht="18" thickBot="1" x14ac:dyDescent="0.35">
      <c r="B17" s="6" t="s">
        <v>11</v>
      </c>
      <c r="C17" s="6">
        <v>800</v>
      </c>
      <c r="D17" s="6">
        <v>64</v>
      </c>
    </row>
    <row r="18" spans="1:8" ht="18" thickBot="1" x14ac:dyDescent="0.35">
      <c r="B18" s="6" t="s">
        <v>12</v>
      </c>
      <c r="C18" s="7">
        <v>3200</v>
      </c>
      <c r="D18" s="6">
        <v>192</v>
      </c>
    </row>
    <row r="20" spans="1:8" x14ac:dyDescent="0.3">
      <c r="D20" t="s">
        <v>11</v>
      </c>
      <c r="E20" t="s">
        <v>12</v>
      </c>
    </row>
    <row r="21" spans="1:8" x14ac:dyDescent="0.3">
      <c r="B21" t="s">
        <v>13</v>
      </c>
      <c r="C21">
        <v>1</v>
      </c>
      <c r="D21">
        <f>D17/C17*100</f>
        <v>8</v>
      </c>
      <c r="E21">
        <f>D18/C18*100</f>
        <v>6</v>
      </c>
    </row>
    <row r="22" spans="1:8" x14ac:dyDescent="0.3">
      <c r="C22">
        <v>2</v>
      </c>
      <c r="D22" t="s">
        <v>14</v>
      </c>
    </row>
    <row r="23" spans="1:8" x14ac:dyDescent="0.3">
      <c r="C23">
        <v>3</v>
      </c>
      <c r="D23" t="s">
        <v>15</v>
      </c>
    </row>
    <row r="24" spans="1:8" x14ac:dyDescent="0.3">
      <c r="C24">
        <v>4</v>
      </c>
      <c r="D24" t="s">
        <v>14</v>
      </c>
    </row>
    <row r="25" spans="1:8" x14ac:dyDescent="0.3">
      <c r="C25">
        <v>5</v>
      </c>
      <c r="D25" t="s">
        <v>16</v>
      </c>
    </row>
    <row r="27" spans="1:8" ht="17.399999999999999" x14ac:dyDescent="0.35">
      <c r="A27">
        <v>3</v>
      </c>
      <c r="B27" s="1" t="s">
        <v>17</v>
      </c>
    </row>
    <row r="28" spans="1:8" ht="17.399999999999999" x14ac:dyDescent="0.3">
      <c r="F28" s="9"/>
    </row>
    <row r="29" spans="1:8" ht="17.399999999999999" x14ac:dyDescent="0.3">
      <c r="B29" s="8" t="s">
        <v>18</v>
      </c>
      <c r="C29" s="8" t="s">
        <v>19</v>
      </c>
      <c r="F29" s="9"/>
      <c r="G29" t="s">
        <v>11</v>
      </c>
      <c r="H29" t="s">
        <v>12</v>
      </c>
    </row>
    <row r="30" spans="1:8" ht="17.399999999999999" x14ac:dyDescent="0.3">
      <c r="B30" s="9">
        <v>500</v>
      </c>
      <c r="C30" s="9">
        <v>500</v>
      </c>
      <c r="E30" t="s">
        <v>20</v>
      </c>
      <c r="F30">
        <v>1</v>
      </c>
      <c r="G30">
        <f>MAX(B30:B36)-MIN(C30:C36)</f>
        <v>100</v>
      </c>
      <c r="H30">
        <f>MAX(C30:C36)-MIN(C30:C36)</f>
        <v>1500</v>
      </c>
    </row>
    <row r="31" spans="1:8" x14ac:dyDescent="0.3">
      <c r="B31">
        <v>520</v>
      </c>
      <c r="C31">
        <v>520</v>
      </c>
      <c r="E31" t="s">
        <v>21</v>
      </c>
      <c r="F31">
        <v>2</v>
      </c>
      <c r="G31">
        <f>_xlfn.QUARTILE.INC(B30:B36,1)</f>
        <v>530</v>
      </c>
      <c r="H31">
        <f>_xlfn.QUARTILE.INC(C30:C36,1)</f>
        <v>530</v>
      </c>
    </row>
    <row r="32" spans="1:8" x14ac:dyDescent="0.3">
      <c r="B32">
        <v>540</v>
      </c>
      <c r="C32">
        <v>540</v>
      </c>
      <c r="E32" t="s">
        <v>22</v>
      </c>
      <c r="F32">
        <v>3</v>
      </c>
      <c r="G32">
        <f>_xlfn.QUARTILE.INC(B30:B36,3)</f>
        <v>570</v>
      </c>
      <c r="H32">
        <f>_xlfn.QUARTILE.INC(C30:C36,3)</f>
        <v>570</v>
      </c>
    </row>
    <row r="33" spans="1:8" x14ac:dyDescent="0.3">
      <c r="B33">
        <v>550</v>
      </c>
      <c r="C33">
        <v>550</v>
      </c>
      <c r="E33" t="s">
        <v>23</v>
      </c>
      <c r="F33">
        <v>4</v>
      </c>
      <c r="G33">
        <f>G32-G31</f>
        <v>40</v>
      </c>
      <c r="H33">
        <f>H32-H31</f>
        <v>40</v>
      </c>
    </row>
    <row r="34" spans="1:8" x14ac:dyDescent="0.3">
      <c r="B34">
        <v>560</v>
      </c>
      <c r="C34">
        <v>560</v>
      </c>
      <c r="F34">
        <v>5</v>
      </c>
      <c r="G34" t="s">
        <v>23</v>
      </c>
    </row>
    <row r="35" spans="1:8" x14ac:dyDescent="0.3">
      <c r="B35">
        <v>580</v>
      </c>
      <c r="C35">
        <v>580</v>
      </c>
      <c r="F35">
        <v>6</v>
      </c>
      <c r="G35" t="s">
        <v>24</v>
      </c>
    </row>
    <row r="36" spans="1:8" x14ac:dyDescent="0.3">
      <c r="B36">
        <v>600</v>
      </c>
      <c r="C36">
        <v>2000</v>
      </c>
    </row>
    <row r="38" spans="1:8" ht="17.399999999999999" x14ac:dyDescent="0.35">
      <c r="A38">
        <v>4</v>
      </c>
      <c r="B38" s="1" t="s">
        <v>25</v>
      </c>
    </row>
    <row r="39" spans="1:8" ht="15" thickBot="1" x14ac:dyDescent="0.35"/>
    <row r="40" spans="1:8" ht="18" thickBot="1" x14ac:dyDescent="0.35">
      <c r="B40" s="2" t="s">
        <v>26</v>
      </c>
      <c r="C40" s="2" t="s">
        <v>27</v>
      </c>
    </row>
    <row r="41" spans="1:8" ht="35.4" thickBot="1" x14ac:dyDescent="0.35">
      <c r="B41" s="6" t="s">
        <v>28</v>
      </c>
      <c r="C41" s="6">
        <v>10</v>
      </c>
      <c r="E41" t="s">
        <v>31</v>
      </c>
      <c r="F41">
        <v>1</v>
      </c>
      <c r="G41">
        <f>C42-C41</f>
        <v>8</v>
      </c>
    </row>
    <row r="42" spans="1:8" ht="18" thickBot="1" x14ac:dyDescent="0.35">
      <c r="B42" s="6" t="s">
        <v>21</v>
      </c>
      <c r="C42" s="6">
        <v>18</v>
      </c>
      <c r="E42" t="s">
        <v>32</v>
      </c>
      <c r="F42">
        <v>2</v>
      </c>
      <c r="G42">
        <f>C45-C44</f>
        <v>43</v>
      </c>
    </row>
    <row r="43" spans="1:8" ht="18" thickBot="1" x14ac:dyDescent="0.35">
      <c r="B43" s="6" t="s">
        <v>29</v>
      </c>
      <c r="C43" s="6">
        <v>24</v>
      </c>
      <c r="F43">
        <v>3</v>
      </c>
      <c r="G43" t="s">
        <v>33</v>
      </c>
    </row>
    <row r="44" spans="1:8" ht="18" thickBot="1" x14ac:dyDescent="0.35">
      <c r="B44" s="6" t="s">
        <v>22</v>
      </c>
      <c r="C44" s="6">
        <v>32</v>
      </c>
      <c r="F44">
        <v>4</v>
      </c>
      <c r="G44" t="s">
        <v>35</v>
      </c>
    </row>
    <row r="45" spans="1:8" ht="18" thickBot="1" x14ac:dyDescent="0.35">
      <c r="B45" s="10" t="s">
        <v>30</v>
      </c>
      <c r="C45" s="6">
        <v>75</v>
      </c>
      <c r="F45">
        <v>5</v>
      </c>
      <c r="G45" t="s">
        <v>34</v>
      </c>
    </row>
    <row r="46" spans="1:8" x14ac:dyDescent="0.3">
      <c r="F46">
        <v>6</v>
      </c>
      <c r="G46" t="s">
        <v>36</v>
      </c>
    </row>
    <row r="48" spans="1:8" ht="17.399999999999999" x14ac:dyDescent="0.35">
      <c r="A48">
        <v>5</v>
      </c>
      <c r="B48" s="1" t="s">
        <v>37</v>
      </c>
    </row>
    <row r="49" spans="1:9" ht="15" thickBot="1" x14ac:dyDescent="0.35"/>
    <row r="50" spans="1:9" ht="18" thickBot="1" x14ac:dyDescent="0.35">
      <c r="B50" s="2" t="s">
        <v>26</v>
      </c>
      <c r="C50" s="2" t="s">
        <v>38</v>
      </c>
      <c r="D50" s="2" t="s">
        <v>39</v>
      </c>
      <c r="H50" t="s">
        <v>11</v>
      </c>
      <c r="I50" t="s">
        <v>12</v>
      </c>
    </row>
    <row r="51" spans="1:9" ht="18" thickBot="1" x14ac:dyDescent="0.35">
      <c r="B51" s="6" t="s">
        <v>28</v>
      </c>
      <c r="C51" s="4">
        <v>22000</v>
      </c>
      <c r="D51" s="4">
        <v>15000</v>
      </c>
      <c r="G51">
        <v>1</v>
      </c>
      <c r="H51" t="s">
        <v>40</v>
      </c>
    </row>
    <row r="52" spans="1:9" ht="18" thickBot="1" x14ac:dyDescent="0.35">
      <c r="B52" s="6" t="s">
        <v>21</v>
      </c>
      <c r="C52" s="4">
        <v>30000</v>
      </c>
      <c r="D52" s="4">
        <v>25000</v>
      </c>
      <c r="F52" t="s">
        <v>23</v>
      </c>
      <c r="G52">
        <v>2</v>
      </c>
      <c r="H52" s="3">
        <f>C54-C52</f>
        <v>20000</v>
      </c>
      <c r="I52" s="3">
        <f>D54-D52</f>
        <v>40000</v>
      </c>
    </row>
    <row r="53" spans="1:9" ht="18" thickBot="1" x14ac:dyDescent="0.35">
      <c r="B53" s="6" t="s">
        <v>29</v>
      </c>
      <c r="C53" s="4">
        <v>42000</v>
      </c>
      <c r="D53" s="4">
        <v>38000</v>
      </c>
      <c r="F53" t="s">
        <v>20</v>
      </c>
      <c r="G53">
        <v>3</v>
      </c>
      <c r="H53" s="3">
        <f>C55-C51</f>
        <v>36000</v>
      </c>
      <c r="I53" s="3">
        <f>D55-D51</f>
        <v>95000</v>
      </c>
    </row>
    <row r="54" spans="1:9" ht="18" thickBot="1" x14ac:dyDescent="0.35">
      <c r="B54" s="6" t="s">
        <v>22</v>
      </c>
      <c r="C54" s="4">
        <v>50000</v>
      </c>
      <c r="D54" s="4">
        <v>65000</v>
      </c>
      <c r="G54">
        <v>4</v>
      </c>
      <c r="H54" t="s">
        <v>41</v>
      </c>
    </row>
    <row r="55" spans="1:9" ht="18" thickBot="1" x14ac:dyDescent="0.35">
      <c r="B55" s="6" t="s">
        <v>30</v>
      </c>
      <c r="C55" s="4">
        <v>58000</v>
      </c>
      <c r="D55" s="4">
        <v>110000</v>
      </c>
      <c r="G55">
        <v>5</v>
      </c>
      <c r="H55" t="s">
        <v>40</v>
      </c>
    </row>
    <row r="56" spans="1:9" x14ac:dyDescent="0.3">
      <c r="G56">
        <v>6</v>
      </c>
      <c r="H56" t="s">
        <v>41</v>
      </c>
    </row>
    <row r="57" spans="1:9" x14ac:dyDescent="0.3">
      <c r="G57">
        <v>7</v>
      </c>
      <c r="H57" t="s">
        <v>41</v>
      </c>
    </row>
    <row r="59" spans="1:9" ht="17.399999999999999" x14ac:dyDescent="0.35">
      <c r="A59">
        <v>6</v>
      </c>
      <c r="B59" s="1" t="s">
        <v>42</v>
      </c>
    </row>
    <row r="61" spans="1:9" ht="17.399999999999999" x14ac:dyDescent="0.35">
      <c r="B61" s="1" t="s">
        <v>43</v>
      </c>
    </row>
    <row r="62" spans="1:9" ht="17.399999999999999" x14ac:dyDescent="0.3">
      <c r="B62" s="9">
        <v>12</v>
      </c>
      <c r="D62" t="s">
        <v>21</v>
      </c>
      <c r="E62" s="9">
        <v>1</v>
      </c>
      <c r="F62">
        <f>_xlfn.QUARTILE.INC(B62:B71,1)</f>
        <v>15.5</v>
      </c>
    </row>
    <row r="63" spans="1:9" x14ac:dyDescent="0.3">
      <c r="B63">
        <v>14</v>
      </c>
      <c r="D63" t="s">
        <v>22</v>
      </c>
      <c r="E63">
        <v>2</v>
      </c>
      <c r="F63">
        <f>_xlfn.QUARTILE.INC(B62:B71,3)</f>
        <v>22.5</v>
      </c>
    </row>
    <row r="64" spans="1:9" x14ac:dyDescent="0.3">
      <c r="B64">
        <v>15</v>
      </c>
      <c r="D64" t="s">
        <v>20</v>
      </c>
      <c r="E64">
        <v>3</v>
      </c>
      <c r="F64">
        <f>MAX(B62:B71)-MIN(B62:B71)</f>
        <v>43</v>
      </c>
    </row>
    <row r="65" spans="1:6" x14ac:dyDescent="0.3">
      <c r="B65">
        <v>17</v>
      </c>
      <c r="D65" t="s">
        <v>44</v>
      </c>
      <c r="E65">
        <v>4</v>
      </c>
      <c r="F65">
        <f>F62-(1.5*(F63-F62))</f>
        <v>5</v>
      </c>
    </row>
    <row r="66" spans="1:6" x14ac:dyDescent="0.3">
      <c r="B66">
        <v>18</v>
      </c>
      <c r="D66" t="s">
        <v>45</v>
      </c>
      <c r="E66">
        <v>5</v>
      </c>
      <c r="F66">
        <f>F63+(1.5*(F63-F62))</f>
        <v>33</v>
      </c>
    </row>
    <row r="67" spans="1:6" x14ac:dyDescent="0.3">
      <c r="B67">
        <v>20</v>
      </c>
      <c r="D67" t="s">
        <v>46</v>
      </c>
      <c r="E67">
        <v>6</v>
      </c>
      <c r="F67">
        <v>55</v>
      </c>
    </row>
    <row r="68" spans="1:6" x14ac:dyDescent="0.3">
      <c r="B68">
        <v>21</v>
      </c>
      <c r="E68">
        <v>7</v>
      </c>
      <c r="F68" t="s">
        <v>3</v>
      </c>
    </row>
    <row r="69" spans="1:6" x14ac:dyDescent="0.3">
      <c r="B69">
        <v>23</v>
      </c>
      <c r="E69">
        <v>8</v>
      </c>
      <c r="F69" t="s">
        <v>47</v>
      </c>
    </row>
    <row r="70" spans="1:6" x14ac:dyDescent="0.3">
      <c r="B70">
        <v>26</v>
      </c>
    </row>
    <row r="71" spans="1:6" x14ac:dyDescent="0.3">
      <c r="B71">
        <v>55</v>
      </c>
    </row>
    <row r="73" spans="1:6" ht="17.399999999999999" x14ac:dyDescent="0.35">
      <c r="A73">
        <v>7</v>
      </c>
      <c r="B73" s="1" t="s">
        <v>48</v>
      </c>
    </row>
    <row r="74" spans="1:6" ht="15" thickBot="1" x14ac:dyDescent="0.35"/>
    <row r="75" spans="1:6" ht="18" thickBot="1" x14ac:dyDescent="0.35">
      <c r="B75" s="2" t="s">
        <v>49</v>
      </c>
      <c r="C75" s="2" t="s">
        <v>50</v>
      </c>
      <c r="D75" s="2" t="s">
        <v>10</v>
      </c>
    </row>
    <row r="76" spans="1:6" ht="18" thickBot="1" x14ac:dyDescent="0.35">
      <c r="B76" s="6" t="s">
        <v>11</v>
      </c>
      <c r="C76" s="11">
        <v>0.1</v>
      </c>
      <c r="D76" s="11">
        <v>0.02</v>
      </c>
    </row>
    <row r="77" spans="1:6" ht="18" thickBot="1" x14ac:dyDescent="0.35">
      <c r="B77" s="6" t="s">
        <v>12</v>
      </c>
      <c r="C77" s="11">
        <v>0.18</v>
      </c>
      <c r="D77" s="12">
        <v>3.5999999999999997E-2</v>
      </c>
    </row>
    <row r="78" spans="1:6" ht="18" thickBot="1" x14ac:dyDescent="0.35">
      <c r="B78" s="6" t="s">
        <v>51</v>
      </c>
      <c r="C78" s="11">
        <v>0.28000000000000003</v>
      </c>
      <c r="D78" s="12">
        <v>4.2000000000000003E-2</v>
      </c>
    </row>
    <row r="80" spans="1:6" x14ac:dyDescent="0.3">
      <c r="D80" t="s">
        <v>11</v>
      </c>
      <c r="E80" t="s">
        <v>12</v>
      </c>
      <c r="F80" t="s">
        <v>51</v>
      </c>
    </row>
    <row r="81" spans="1:6" ht="17.399999999999999" x14ac:dyDescent="0.3">
      <c r="B81" s="13" t="s">
        <v>13</v>
      </c>
      <c r="C81" s="14">
        <v>1</v>
      </c>
      <c r="D81">
        <f>D76/C76*100</f>
        <v>20</v>
      </c>
      <c r="E81">
        <f>D77/C77*100</f>
        <v>20</v>
      </c>
      <c r="F81">
        <f>D78/C78*100</f>
        <v>15</v>
      </c>
    </row>
    <row r="82" spans="1:6" ht="17.399999999999999" x14ac:dyDescent="0.3">
      <c r="B82" s="13" t="s">
        <v>52</v>
      </c>
      <c r="C82">
        <v>2</v>
      </c>
      <c r="D82" t="s">
        <v>53</v>
      </c>
    </row>
    <row r="83" spans="1:6" x14ac:dyDescent="0.3">
      <c r="C83">
        <v>3</v>
      </c>
      <c r="D83" t="s">
        <v>54</v>
      </c>
    </row>
    <row r="84" spans="1:6" x14ac:dyDescent="0.3">
      <c r="C84">
        <v>4</v>
      </c>
      <c r="D84" t="s">
        <v>54</v>
      </c>
    </row>
    <row r="85" spans="1:6" x14ac:dyDescent="0.3">
      <c r="C85">
        <v>5</v>
      </c>
      <c r="D85" t="s">
        <v>55</v>
      </c>
    </row>
    <row r="86" spans="1:6" x14ac:dyDescent="0.3">
      <c r="C86">
        <v>6</v>
      </c>
      <c r="D86" t="s">
        <v>54</v>
      </c>
    </row>
    <row r="87" spans="1:6" x14ac:dyDescent="0.3">
      <c r="C87">
        <v>7</v>
      </c>
      <c r="D87" t="s">
        <v>56</v>
      </c>
    </row>
    <row r="89" spans="1:6" ht="17.399999999999999" x14ac:dyDescent="0.35">
      <c r="A89">
        <v>8</v>
      </c>
      <c r="B89" s="1" t="s">
        <v>57</v>
      </c>
    </row>
    <row r="90" spans="1:6" ht="15" thickBot="1" x14ac:dyDescent="0.35"/>
    <row r="91" spans="1:6" ht="18" thickBot="1" x14ac:dyDescent="0.35">
      <c r="B91" s="2" t="s">
        <v>58</v>
      </c>
      <c r="C91" s="5" t="s">
        <v>59</v>
      </c>
      <c r="D91" s="5" t="s">
        <v>60</v>
      </c>
    </row>
    <row r="92" spans="1:6" ht="18" thickBot="1" x14ac:dyDescent="0.35">
      <c r="B92" s="6" t="s">
        <v>11</v>
      </c>
      <c r="C92" s="4">
        <v>1500</v>
      </c>
      <c r="D92" s="4">
        <v>1000</v>
      </c>
    </row>
    <row r="93" spans="1:6" ht="18" thickBot="1" x14ac:dyDescent="0.35">
      <c r="B93" s="6" t="s">
        <v>12</v>
      </c>
      <c r="C93" s="4">
        <v>1200</v>
      </c>
      <c r="D93" s="4">
        <v>1100</v>
      </c>
    </row>
    <row r="96" spans="1:6" x14ac:dyDescent="0.3">
      <c r="C96">
        <v>1</v>
      </c>
      <c r="D96" t="s">
        <v>61</v>
      </c>
    </row>
    <row r="97" spans="1:4" x14ac:dyDescent="0.3">
      <c r="C97">
        <v>2</v>
      </c>
      <c r="D97" t="s">
        <v>62</v>
      </c>
    </row>
    <row r="98" spans="1:4" x14ac:dyDescent="0.3">
      <c r="C98">
        <v>3</v>
      </c>
      <c r="D98" t="s">
        <v>61</v>
      </c>
    </row>
    <row r="99" spans="1:4" x14ac:dyDescent="0.3">
      <c r="C99">
        <v>4</v>
      </c>
      <c r="D99" t="s">
        <v>61</v>
      </c>
    </row>
    <row r="100" spans="1:4" x14ac:dyDescent="0.3">
      <c r="C100">
        <v>5</v>
      </c>
      <c r="D100" t="s">
        <v>63</v>
      </c>
    </row>
    <row r="101" spans="1:4" x14ac:dyDescent="0.3">
      <c r="C101">
        <v>6</v>
      </c>
      <c r="D101" t="s">
        <v>23</v>
      </c>
    </row>
    <row r="103" spans="1:4" ht="17.399999999999999" x14ac:dyDescent="0.35">
      <c r="A103">
        <v>9</v>
      </c>
      <c r="B103" s="1" t="s">
        <v>64</v>
      </c>
    </row>
    <row r="105" spans="1:4" x14ac:dyDescent="0.3">
      <c r="B105" t="s">
        <v>11</v>
      </c>
      <c r="C105" t="s">
        <v>3</v>
      </c>
    </row>
    <row r="106" spans="1:4" x14ac:dyDescent="0.3">
      <c r="B106" t="s">
        <v>12</v>
      </c>
      <c r="C106" t="s">
        <v>13</v>
      </c>
    </row>
    <row r="107" spans="1:4" x14ac:dyDescent="0.3">
      <c r="B107" t="s">
        <v>51</v>
      </c>
      <c r="C107" t="s">
        <v>23</v>
      </c>
    </row>
    <row r="108" spans="1:4" x14ac:dyDescent="0.3">
      <c r="B108" t="s">
        <v>65</v>
      </c>
      <c r="C108" t="s">
        <v>69</v>
      </c>
    </row>
    <row r="109" spans="1:4" x14ac:dyDescent="0.3">
      <c r="B109" t="s">
        <v>66</v>
      </c>
      <c r="C109" t="s">
        <v>10</v>
      </c>
    </row>
    <row r="110" spans="1:4" x14ac:dyDescent="0.3">
      <c r="B110" t="s">
        <v>67</v>
      </c>
      <c r="C110" t="s">
        <v>70</v>
      </c>
    </row>
    <row r="111" spans="1:4" x14ac:dyDescent="0.3">
      <c r="B111" t="s">
        <v>68</v>
      </c>
      <c r="C111" t="s">
        <v>71</v>
      </c>
    </row>
    <row r="113" spans="1:5" ht="17.399999999999999" x14ac:dyDescent="0.35">
      <c r="A113">
        <v>10</v>
      </c>
      <c r="B113" s="1" t="s">
        <v>72</v>
      </c>
    </row>
    <row r="114" spans="1:5" ht="15" thickBot="1" x14ac:dyDescent="0.35"/>
    <row r="115" spans="1:5" ht="18" thickBot="1" x14ac:dyDescent="0.35">
      <c r="B115" s="2" t="s">
        <v>58</v>
      </c>
      <c r="C115" s="2" t="s">
        <v>59</v>
      </c>
      <c r="D115" s="2" t="s">
        <v>29</v>
      </c>
      <c r="E115" s="2" t="s">
        <v>10</v>
      </c>
    </row>
    <row r="116" spans="1:5" ht="18" thickBot="1" x14ac:dyDescent="0.35">
      <c r="B116" s="6" t="s">
        <v>11</v>
      </c>
      <c r="C116" s="4">
        <v>1800</v>
      </c>
      <c r="D116" s="4">
        <v>1200</v>
      </c>
      <c r="E116" s="4">
        <v>360</v>
      </c>
    </row>
    <row r="117" spans="1:5" ht="18" thickBot="1" x14ac:dyDescent="0.35">
      <c r="B117" s="6" t="s">
        <v>12</v>
      </c>
      <c r="C117" s="4">
        <v>2200</v>
      </c>
      <c r="D117" s="4">
        <v>2000</v>
      </c>
      <c r="E117" s="4">
        <v>330</v>
      </c>
    </row>
    <row r="119" spans="1:5" x14ac:dyDescent="0.3">
      <c r="D119" t="s">
        <v>11</v>
      </c>
      <c r="E119" t="s">
        <v>12</v>
      </c>
    </row>
    <row r="120" spans="1:5" x14ac:dyDescent="0.3">
      <c r="B120" t="s">
        <v>13</v>
      </c>
      <c r="C120">
        <v>1</v>
      </c>
      <c r="D120">
        <f>E116/C116*100</f>
        <v>20</v>
      </c>
      <c r="E120">
        <f>E117/C117*100</f>
        <v>15</v>
      </c>
    </row>
    <row r="121" spans="1:5" x14ac:dyDescent="0.3">
      <c r="C121">
        <v>2</v>
      </c>
      <c r="D121" t="s">
        <v>61</v>
      </c>
    </row>
    <row r="122" spans="1:5" x14ac:dyDescent="0.3">
      <c r="C122">
        <v>3</v>
      </c>
      <c r="D122" t="s">
        <v>61</v>
      </c>
    </row>
    <row r="123" spans="1:5" x14ac:dyDescent="0.3">
      <c r="C123">
        <v>4</v>
      </c>
      <c r="D123" t="s">
        <v>61</v>
      </c>
    </row>
    <row r="124" spans="1:5" x14ac:dyDescent="0.3">
      <c r="C124">
        <v>5</v>
      </c>
      <c r="D124" t="s">
        <v>62</v>
      </c>
    </row>
    <row r="125" spans="1:5" x14ac:dyDescent="0.3">
      <c r="C125">
        <v>6</v>
      </c>
      <c r="D125" t="s">
        <v>62</v>
      </c>
    </row>
    <row r="126" spans="1:5" x14ac:dyDescent="0.3">
      <c r="C126">
        <v>7</v>
      </c>
      <c r="D126" t="s">
        <v>62</v>
      </c>
    </row>
    <row r="127" spans="1:5" x14ac:dyDescent="0.3">
      <c r="C127">
        <v>8</v>
      </c>
      <c r="D127" t="s">
        <v>62</v>
      </c>
    </row>
    <row r="128" spans="1:5" x14ac:dyDescent="0.3">
      <c r="C128">
        <v>9</v>
      </c>
      <c r="D128" t="s">
        <v>73</v>
      </c>
    </row>
    <row r="129" spans="3:4" x14ac:dyDescent="0.3">
      <c r="C129">
        <v>10</v>
      </c>
      <c r="D12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2026-08-21T11:19:18Z</dcterms:created>
  <dcterms:modified xsi:type="dcterms:W3CDTF">2026-08-21T12:02:02Z</dcterms:modified>
</cp:coreProperties>
</file>