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BA2F7129-DC52-4078-8C47-6F3320DBC36B}" xr6:coauthVersionLast="47" xr6:coauthVersionMax="47" xr10:uidLastSave="{00000000-0000-0000-0000-000000000000}"/>
  <bookViews>
    <workbookView xWindow="-108" yWindow="-108" windowWidth="23256" windowHeight="12456" xr2:uid="{64976ACB-7E02-417A-979A-D21B4CC8C611}"/>
  </bookViews>
  <sheets>
    <sheet name="S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" i="1" l="1"/>
  <c r="C94" i="1"/>
  <c r="H69" i="1"/>
  <c r="G69" i="1"/>
  <c r="H67" i="1"/>
  <c r="G67" i="1"/>
  <c r="E56" i="1" l="1"/>
  <c r="E55" i="1"/>
  <c r="E54" i="1"/>
  <c r="E53" i="1"/>
  <c r="E52" i="1"/>
  <c r="F42" i="1"/>
  <c r="C38" i="1"/>
  <c r="C37" i="1"/>
  <c r="C36" i="1"/>
  <c r="D26" i="1"/>
  <c r="C26" i="1"/>
  <c r="D5" i="1"/>
  <c r="C5" i="1"/>
</calcChain>
</file>

<file path=xl/sharedStrings.xml><?xml version="1.0" encoding="utf-8"?>
<sst xmlns="http://schemas.openxmlformats.org/spreadsheetml/2006/main" count="107" uniqueCount="55">
  <si>
    <t>Q</t>
  </si>
  <si>
    <t>Mean vs Median Business Decision</t>
  </si>
  <si>
    <t>monthly customer spending</t>
  </si>
  <si>
    <t>Mean</t>
  </si>
  <si>
    <t>Median</t>
  </si>
  <si>
    <t>₹6,500 is an extreme value that pulls the mean upward substantially, making ₹1,729 a poor representation of typical customer spending. The median ₹950 is much less affected by the extreme value.</t>
  </si>
  <si>
    <t>Detect the Better Measure</t>
  </si>
  <si>
    <t>Dataset</t>
  </si>
  <si>
    <t>A</t>
  </si>
  <si>
    <t>B</t>
  </si>
  <si>
    <t>because of mean is high so that data has outlier so I'll use median for reperesent salary</t>
  </si>
  <si>
    <t xml:space="preserve">B  </t>
  </si>
  <si>
    <t>Spread Comparison</t>
  </si>
  <si>
    <t>Team</t>
  </si>
  <si>
    <t>Mean Delivery Time</t>
  </si>
  <si>
    <t>SD</t>
  </si>
  <si>
    <t>CV</t>
  </si>
  <si>
    <t>it is tell that consistency</t>
  </si>
  <si>
    <t>CV Decision</t>
  </si>
  <si>
    <t>Store</t>
  </si>
  <si>
    <t>Mean Sales</t>
  </si>
  <si>
    <t>C</t>
  </si>
  <si>
    <t>A &amp; C</t>
  </si>
  <si>
    <t>A,C,B</t>
  </si>
  <si>
    <t xml:space="preserve">Yes A and c </t>
  </si>
  <si>
    <t>Quartile Interpretation</t>
  </si>
  <si>
    <t>Statistic</t>
  </si>
  <si>
    <t>Value</t>
  </si>
  <si>
    <t>Minimum</t>
  </si>
  <si>
    <t>Q1</t>
  </si>
  <si>
    <t>Q3</t>
  </si>
  <si>
    <t>Maximum</t>
  </si>
  <si>
    <t>right side data</t>
  </si>
  <si>
    <r>
      <t xml:space="preserve">the data has a </t>
    </r>
    <r>
      <rPr>
        <b/>
        <sz val="11"/>
        <color theme="1"/>
        <rFont val="Calibri"/>
        <family val="2"/>
        <scheme val="minor"/>
      </rPr>
      <t>longer right tail</t>
    </r>
  </si>
  <si>
    <t>Outlier Detection</t>
  </si>
  <si>
    <t xml:space="preserve">Yes, 60 is an outlier </t>
  </si>
  <si>
    <t xml:space="preserve">60 is bigger than upper fence so </t>
  </si>
  <si>
    <t>Box Plot Comparison</t>
  </si>
  <si>
    <t>Dept A</t>
  </si>
  <si>
    <t>Dept B</t>
  </si>
  <si>
    <t>IQR</t>
  </si>
  <si>
    <t>Range</t>
  </si>
  <si>
    <t>Identify the Skewness</t>
  </si>
  <si>
    <t>Dataset A</t>
  </si>
  <si>
    <t>Dataset B</t>
  </si>
  <si>
    <t>Dataset C</t>
  </si>
  <si>
    <t xml:space="preserve">if mean &gt; median it is right skewed and if median &gt; mean it is left skwed </t>
  </si>
  <si>
    <t>Data Analyst Method Selection</t>
  </si>
  <si>
    <t>D</t>
  </si>
  <si>
    <t>Box plot</t>
  </si>
  <si>
    <t>E</t>
  </si>
  <si>
    <t>Full Data Analyst Case</t>
  </si>
  <si>
    <t>Partner</t>
  </si>
  <si>
    <t>Partner B</t>
  </si>
  <si>
    <t>because of outliers are affect on SD and mean so we not conclude anything used to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</si>
</sst>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6" fontId="3" fillId="0" borderId="2" xfId="0" applyNumberFormat="1" applyFont="1" applyBorder="1" applyAlignment="1">
      <alignment horizontal="center" vertical="center"/>
    </xf>
    <xf numFmtId="6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3F80-3A14-44CC-9C96-5F7C5416AA70}">
  <dimension ref="A1:M99"/>
  <sheetViews>
    <sheetView tabSelected="1" topLeftCell="A88" zoomScale="175" zoomScaleNormal="175" workbookViewId="0">
      <selection activeCell="E97" sqref="E97"/>
    </sheetView>
  </sheetViews>
  <sheetFormatPr defaultRowHeight="14.4" x14ac:dyDescent="0.3"/>
  <cols>
    <col min="1" max="1" width="8.88671875" style="7"/>
    <col min="2" max="2" width="29.88671875" style="7" bestFit="1" customWidth="1"/>
    <col min="3" max="3" width="21.5546875" style="7" bestFit="1" customWidth="1"/>
    <col min="4" max="4" width="9.44140625" style="7" bestFit="1" customWidth="1"/>
    <col min="5" max="16384" width="8.88671875" style="7"/>
  </cols>
  <sheetData>
    <row r="1" spans="1:13" x14ac:dyDescent="0.3">
      <c r="A1" s="7" t="s">
        <v>0</v>
      </c>
    </row>
    <row r="2" spans="1:13" ht="17.399999999999999" x14ac:dyDescent="0.35">
      <c r="A2" s="7">
        <v>1</v>
      </c>
      <c r="B2" s="14" t="s">
        <v>1</v>
      </c>
    </row>
    <row r="4" spans="1:13" ht="17.399999999999999" x14ac:dyDescent="0.35">
      <c r="B4" s="16" t="s">
        <v>2</v>
      </c>
      <c r="C4" s="19" t="s">
        <v>3</v>
      </c>
      <c r="D4" s="19" t="s">
        <v>4</v>
      </c>
    </row>
    <row r="5" spans="1:13" ht="17.399999999999999" x14ac:dyDescent="0.3">
      <c r="B5" s="17">
        <v>800</v>
      </c>
      <c r="C5" s="18">
        <f>AVERAGE(B5:B11)</f>
        <v>1728.5714285714287</v>
      </c>
      <c r="D5" s="18">
        <f>MEDIAN(B5:B11)</f>
        <v>950</v>
      </c>
      <c r="G5" s="11"/>
      <c r="M5" s="10"/>
    </row>
    <row r="6" spans="1:13" x14ac:dyDescent="0.3">
      <c r="B6" s="18">
        <v>850</v>
      </c>
    </row>
    <row r="7" spans="1:13" x14ac:dyDescent="0.3">
      <c r="B7" s="18">
        <v>900</v>
      </c>
      <c r="D7" s="7">
        <v>3</v>
      </c>
      <c r="E7" s="7" t="s">
        <v>4</v>
      </c>
    </row>
    <row r="8" spans="1:13" x14ac:dyDescent="0.3">
      <c r="B8" s="18">
        <v>950</v>
      </c>
      <c r="D8" s="7">
        <v>4</v>
      </c>
      <c r="E8" s="15" t="s">
        <v>5</v>
      </c>
    </row>
    <row r="9" spans="1:13" x14ac:dyDescent="0.3">
      <c r="B9" s="18">
        <v>1000</v>
      </c>
    </row>
    <row r="10" spans="1:13" x14ac:dyDescent="0.3">
      <c r="B10" s="18">
        <v>1100</v>
      </c>
    </row>
    <row r="11" spans="1:13" x14ac:dyDescent="0.3">
      <c r="B11" s="18">
        <v>6500</v>
      </c>
    </row>
    <row r="13" spans="1:13" ht="17.399999999999999" x14ac:dyDescent="0.35">
      <c r="A13" s="7">
        <v>2</v>
      </c>
      <c r="B13" s="9" t="s">
        <v>6</v>
      </c>
    </row>
    <row r="14" spans="1:13" ht="15" thickBot="1" x14ac:dyDescent="0.35"/>
    <row r="15" spans="1:13" ht="18" thickBot="1" x14ac:dyDescent="0.35">
      <c r="B15" s="1" t="s">
        <v>7</v>
      </c>
      <c r="C15" s="1" t="s">
        <v>3</v>
      </c>
      <c r="D15" s="1" t="s">
        <v>4</v>
      </c>
      <c r="F15" s="7">
        <v>1</v>
      </c>
      <c r="G15" s="4" t="s">
        <v>11</v>
      </c>
    </row>
    <row r="16" spans="1:13" ht="18" thickBot="1" x14ac:dyDescent="0.35">
      <c r="B16" s="2" t="s">
        <v>8</v>
      </c>
      <c r="C16" s="3">
        <v>52000</v>
      </c>
      <c r="D16" s="3">
        <v>51000</v>
      </c>
      <c r="F16" s="7">
        <v>2</v>
      </c>
      <c r="G16" s="7" t="s">
        <v>4</v>
      </c>
    </row>
    <row r="17" spans="1:7" ht="18" thickBot="1" x14ac:dyDescent="0.35">
      <c r="B17" s="2" t="s">
        <v>9</v>
      </c>
      <c r="C17" s="3">
        <v>75000</v>
      </c>
      <c r="D17" s="3">
        <v>48000</v>
      </c>
      <c r="F17" s="7">
        <v>3</v>
      </c>
      <c r="G17" s="15" t="s">
        <v>10</v>
      </c>
    </row>
    <row r="19" spans="1:7" ht="17.399999999999999" x14ac:dyDescent="0.35">
      <c r="A19" s="7">
        <v>3</v>
      </c>
      <c r="B19" s="9" t="s">
        <v>12</v>
      </c>
    </row>
    <row r="20" spans="1:7" ht="15" thickBot="1" x14ac:dyDescent="0.35"/>
    <row r="21" spans="1:7" ht="18" thickBot="1" x14ac:dyDescent="0.35">
      <c r="B21" s="1" t="s">
        <v>13</v>
      </c>
      <c r="C21" s="5" t="s">
        <v>14</v>
      </c>
      <c r="D21" s="1" t="s">
        <v>15</v>
      </c>
      <c r="F21" s="7">
        <v>1</v>
      </c>
      <c r="G21" s="7" t="s">
        <v>9</v>
      </c>
    </row>
    <row r="22" spans="1:7" ht="18" thickBot="1" x14ac:dyDescent="0.35">
      <c r="B22" s="2" t="s">
        <v>8</v>
      </c>
      <c r="C22" s="2">
        <v>40</v>
      </c>
      <c r="D22" s="2">
        <v>4</v>
      </c>
      <c r="F22" s="7">
        <v>2</v>
      </c>
      <c r="G22" s="7" t="s">
        <v>8</v>
      </c>
    </row>
    <row r="23" spans="1:7" ht="18" thickBot="1" x14ac:dyDescent="0.35">
      <c r="B23" s="2" t="s">
        <v>9</v>
      </c>
      <c r="C23" s="2">
        <v>40</v>
      </c>
      <c r="D23" s="2">
        <v>12</v>
      </c>
      <c r="F23" s="7">
        <v>3</v>
      </c>
      <c r="G23" s="15" t="s">
        <v>17</v>
      </c>
    </row>
    <row r="25" spans="1:7" x14ac:dyDescent="0.3">
      <c r="C25" s="7" t="s">
        <v>8</v>
      </c>
      <c r="D25" s="7" t="s">
        <v>9</v>
      </c>
    </row>
    <row r="26" spans="1:7" x14ac:dyDescent="0.3">
      <c r="B26" s="7" t="s">
        <v>16</v>
      </c>
      <c r="C26" s="7">
        <f>D22/C22*100</f>
        <v>10</v>
      </c>
      <c r="D26" s="7">
        <f>D23/C23*100</f>
        <v>30</v>
      </c>
    </row>
    <row r="28" spans="1:7" ht="17.399999999999999" x14ac:dyDescent="0.35">
      <c r="A28" s="7">
        <v>4</v>
      </c>
      <c r="B28" s="9" t="s">
        <v>18</v>
      </c>
    </row>
    <row r="29" spans="1:7" ht="15" thickBot="1" x14ac:dyDescent="0.35"/>
    <row r="30" spans="1:7" ht="18" thickBot="1" x14ac:dyDescent="0.35">
      <c r="B30" s="1" t="s">
        <v>19</v>
      </c>
      <c r="C30" s="1" t="s">
        <v>20</v>
      </c>
      <c r="D30" s="1" t="s">
        <v>15</v>
      </c>
      <c r="F30" s="7">
        <v>1</v>
      </c>
      <c r="G30" s="4" t="s">
        <v>22</v>
      </c>
    </row>
    <row r="31" spans="1:7" ht="18" thickBot="1" x14ac:dyDescent="0.35">
      <c r="B31" s="2" t="s">
        <v>8</v>
      </c>
      <c r="C31" s="3">
        <v>50000</v>
      </c>
      <c r="D31" s="3">
        <v>4000</v>
      </c>
      <c r="F31" s="7">
        <v>2</v>
      </c>
      <c r="G31" s="7" t="s">
        <v>23</v>
      </c>
    </row>
    <row r="32" spans="1:7" ht="18" thickBot="1" x14ac:dyDescent="0.35">
      <c r="B32" s="2" t="s">
        <v>9</v>
      </c>
      <c r="C32" s="3">
        <v>80000</v>
      </c>
      <c r="D32" s="3">
        <v>8000</v>
      </c>
      <c r="F32" s="7">
        <v>3</v>
      </c>
      <c r="G32" s="15" t="s">
        <v>24</v>
      </c>
    </row>
    <row r="33" spans="1:6" ht="18" thickBot="1" x14ac:dyDescent="0.35">
      <c r="B33" s="2" t="s">
        <v>21</v>
      </c>
      <c r="C33" s="3">
        <v>120000</v>
      </c>
      <c r="D33" s="3">
        <v>9600</v>
      </c>
    </row>
    <row r="35" spans="1:6" ht="17.399999999999999" x14ac:dyDescent="0.3">
      <c r="B35" s="6" t="s">
        <v>19</v>
      </c>
      <c r="C35" s="7" t="s">
        <v>16</v>
      </c>
    </row>
    <row r="36" spans="1:6" ht="17.399999999999999" x14ac:dyDescent="0.3">
      <c r="B36" s="6" t="s">
        <v>8</v>
      </c>
      <c r="C36" s="7">
        <f>D31/C31*100</f>
        <v>8</v>
      </c>
    </row>
    <row r="37" spans="1:6" ht="17.399999999999999" x14ac:dyDescent="0.3">
      <c r="B37" s="6" t="s">
        <v>9</v>
      </c>
      <c r="C37" s="7">
        <f>D32/C32*100</f>
        <v>10</v>
      </c>
    </row>
    <row r="38" spans="1:6" ht="17.399999999999999" x14ac:dyDescent="0.3">
      <c r="B38" s="6" t="s">
        <v>21</v>
      </c>
      <c r="C38" s="7">
        <f>D33/C33*100</f>
        <v>8</v>
      </c>
    </row>
    <row r="40" spans="1:6" ht="17.399999999999999" x14ac:dyDescent="0.35">
      <c r="A40" s="7">
        <v>5</v>
      </c>
      <c r="B40" s="9" t="s">
        <v>25</v>
      </c>
    </row>
    <row r="41" spans="1:6" ht="15" thickBot="1" x14ac:dyDescent="0.35"/>
    <row r="42" spans="1:6" ht="18" thickBot="1" x14ac:dyDescent="0.35">
      <c r="B42" s="1" t="s">
        <v>26</v>
      </c>
      <c r="C42" s="1" t="s">
        <v>27</v>
      </c>
      <c r="E42" s="7">
        <v>1</v>
      </c>
      <c r="F42" s="7">
        <f>C46-C44</f>
        <v>20</v>
      </c>
    </row>
    <row r="43" spans="1:6" ht="18" thickBot="1" x14ac:dyDescent="0.35">
      <c r="B43" s="2" t="s">
        <v>28</v>
      </c>
      <c r="C43" s="2">
        <v>12</v>
      </c>
      <c r="E43" s="7">
        <v>2</v>
      </c>
      <c r="F43" s="12">
        <v>0.5</v>
      </c>
    </row>
    <row r="44" spans="1:6" ht="18" thickBot="1" x14ac:dyDescent="0.35">
      <c r="B44" s="2" t="s">
        <v>29</v>
      </c>
      <c r="C44" s="2">
        <v>20</v>
      </c>
      <c r="E44" s="7">
        <v>3</v>
      </c>
      <c r="F44" s="15" t="s">
        <v>32</v>
      </c>
    </row>
    <row r="45" spans="1:6" ht="18" thickBot="1" x14ac:dyDescent="0.35">
      <c r="B45" s="2" t="s">
        <v>4</v>
      </c>
      <c r="C45" s="2">
        <v>28</v>
      </c>
      <c r="E45" s="7">
        <v>4</v>
      </c>
      <c r="F45" s="7" t="s">
        <v>29</v>
      </c>
    </row>
    <row r="46" spans="1:6" ht="18" thickBot="1" x14ac:dyDescent="0.35">
      <c r="B46" s="2" t="s">
        <v>30</v>
      </c>
      <c r="C46" s="2">
        <v>40</v>
      </c>
      <c r="E46" s="7">
        <v>5</v>
      </c>
      <c r="F46" s="15" t="s">
        <v>33</v>
      </c>
    </row>
    <row r="47" spans="1:6" ht="18" thickBot="1" x14ac:dyDescent="0.35">
      <c r="B47" s="2" t="s">
        <v>31</v>
      </c>
      <c r="C47" s="2">
        <v>75</v>
      </c>
    </row>
    <row r="49" spans="1:5" ht="17.399999999999999" x14ac:dyDescent="0.35">
      <c r="A49" s="7">
        <v>6</v>
      </c>
      <c r="B49" s="9" t="s">
        <v>34</v>
      </c>
    </row>
    <row r="51" spans="1:5" ht="17.399999999999999" x14ac:dyDescent="0.35">
      <c r="B51" s="9" t="s">
        <v>7</v>
      </c>
      <c r="D51" s="13"/>
    </row>
    <row r="52" spans="1:5" ht="17.399999999999999" x14ac:dyDescent="0.3">
      <c r="B52" s="13">
        <v>10</v>
      </c>
      <c r="D52" s="7">
        <v>1</v>
      </c>
      <c r="E52" s="7">
        <f>_xlfn.QUARTILE.INC(B52:B61,1)</f>
        <v>14.25</v>
      </c>
    </row>
    <row r="53" spans="1:5" x14ac:dyDescent="0.3">
      <c r="B53" s="7">
        <v>12</v>
      </c>
      <c r="D53" s="7">
        <v>2</v>
      </c>
      <c r="E53" s="7">
        <f>_xlfn.QUARTILE.INC(B52:B61,3)</f>
        <v>22.5</v>
      </c>
    </row>
    <row r="54" spans="1:5" x14ac:dyDescent="0.3">
      <c r="B54" s="7">
        <v>14</v>
      </c>
      <c r="D54" s="7">
        <v>3</v>
      </c>
      <c r="E54" s="7">
        <f>E53-E52</f>
        <v>8.25</v>
      </c>
    </row>
    <row r="55" spans="1:5" x14ac:dyDescent="0.3">
      <c r="B55" s="7">
        <v>15</v>
      </c>
      <c r="D55" s="7">
        <v>4</v>
      </c>
      <c r="E55" s="7">
        <f>E52-(1.5*E54)</f>
        <v>1.875</v>
      </c>
    </row>
    <row r="56" spans="1:5" x14ac:dyDescent="0.3">
      <c r="B56" s="7">
        <v>18</v>
      </c>
      <c r="D56" s="7">
        <v>5</v>
      </c>
      <c r="E56" s="7">
        <f>E53+(1.5*E54)</f>
        <v>34.875</v>
      </c>
    </row>
    <row r="57" spans="1:5" x14ac:dyDescent="0.3">
      <c r="B57" s="7">
        <v>20</v>
      </c>
      <c r="D57" s="7">
        <v>6</v>
      </c>
      <c r="E57" s="15" t="s">
        <v>35</v>
      </c>
    </row>
    <row r="58" spans="1:5" x14ac:dyDescent="0.3">
      <c r="B58" s="7">
        <v>21</v>
      </c>
      <c r="D58" s="7">
        <v>7</v>
      </c>
      <c r="E58" s="15" t="s">
        <v>36</v>
      </c>
    </row>
    <row r="59" spans="1:5" x14ac:dyDescent="0.3">
      <c r="B59" s="7">
        <v>23</v>
      </c>
    </row>
    <row r="60" spans="1:5" x14ac:dyDescent="0.3">
      <c r="B60" s="7">
        <v>25</v>
      </c>
    </row>
    <row r="61" spans="1:5" x14ac:dyDescent="0.3">
      <c r="B61" s="7">
        <v>60</v>
      </c>
    </row>
    <row r="63" spans="1:5" ht="17.399999999999999" x14ac:dyDescent="0.35">
      <c r="A63" s="7">
        <v>7</v>
      </c>
      <c r="B63" s="9" t="s">
        <v>37</v>
      </c>
    </row>
    <row r="64" spans="1:5" ht="15" thickBot="1" x14ac:dyDescent="0.35"/>
    <row r="65" spans="1:8" ht="18" thickBot="1" x14ac:dyDescent="0.35">
      <c r="B65" s="1" t="s">
        <v>26</v>
      </c>
      <c r="C65" s="1" t="s">
        <v>38</v>
      </c>
      <c r="D65" s="1" t="s">
        <v>39</v>
      </c>
      <c r="F65" s="8">
        <v>1</v>
      </c>
      <c r="G65" s="4" t="s">
        <v>39</v>
      </c>
    </row>
    <row r="66" spans="1:8" ht="18" thickBot="1" x14ac:dyDescent="0.35">
      <c r="B66" s="2" t="s">
        <v>28</v>
      </c>
      <c r="C66" s="2">
        <v>15</v>
      </c>
      <c r="D66" s="2">
        <v>10</v>
      </c>
      <c r="F66" s="8">
        <v>2</v>
      </c>
      <c r="G66" s="8" t="s">
        <v>8</v>
      </c>
      <c r="H66" s="8" t="s">
        <v>9</v>
      </c>
    </row>
    <row r="67" spans="1:8" ht="18" thickBot="1" x14ac:dyDescent="0.35">
      <c r="B67" s="2" t="s">
        <v>29</v>
      </c>
      <c r="C67" s="2">
        <v>25</v>
      </c>
      <c r="D67" s="2">
        <v>20</v>
      </c>
      <c r="F67" s="8" t="s">
        <v>40</v>
      </c>
      <c r="G67" s="7">
        <f>C69-C67</f>
        <v>15</v>
      </c>
      <c r="H67" s="7">
        <f>D69-D67</f>
        <v>35</v>
      </c>
    </row>
    <row r="68" spans="1:8" ht="18" thickBot="1" x14ac:dyDescent="0.35">
      <c r="B68" s="2" t="s">
        <v>4</v>
      </c>
      <c r="C68" s="2">
        <v>30</v>
      </c>
      <c r="D68" s="2">
        <v>35</v>
      </c>
      <c r="F68" s="8">
        <v>3</v>
      </c>
      <c r="G68" s="8" t="s">
        <v>8</v>
      </c>
      <c r="H68" s="8" t="s">
        <v>9</v>
      </c>
    </row>
    <row r="69" spans="1:8" ht="18" thickBot="1" x14ac:dyDescent="0.35">
      <c r="B69" s="2" t="s">
        <v>30</v>
      </c>
      <c r="C69" s="2">
        <v>40</v>
      </c>
      <c r="D69" s="2">
        <v>55</v>
      </c>
      <c r="F69" s="8" t="s">
        <v>41</v>
      </c>
      <c r="G69" s="7">
        <f>C70-C66</f>
        <v>35</v>
      </c>
      <c r="H69" s="7">
        <f>D70-D66</f>
        <v>70</v>
      </c>
    </row>
    <row r="70" spans="1:8" ht="18" thickBot="1" x14ac:dyDescent="0.35">
      <c r="B70" s="2" t="s">
        <v>31</v>
      </c>
      <c r="C70" s="2">
        <v>50</v>
      </c>
      <c r="D70" s="2">
        <v>80</v>
      </c>
      <c r="F70" s="7">
        <v>4</v>
      </c>
      <c r="G70" s="7" t="s">
        <v>39</v>
      </c>
    </row>
    <row r="71" spans="1:8" x14ac:dyDescent="0.3">
      <c r="F71" s="7">
        <v>5</v>
      </c>
      <c r="G71" s="7" t="s">
        <v>38</v>
      </c>
    </row>
    <row r="72" spans="1:8" x14ac:dyDescent="0.3">
      <c r="F72" s="7">
        <v>6</v>
      </c>
      <c r="G72" s="7" t="s">
        <v>39</v>
      </c>
    </row>
    <row r="74" spans="1:8" ht="17.399999999999999" x14ac:dyDescent="0.35">
      <c r="A74" s="7">
        <v>8</v>
      </c>
      <c r="B74" s="9" t="s">
        <v>42</v>
      </c>
    </row>
    <row r="75" spans="1:8" x14ac:dyDescent="0.3">
      <c r="B75" s="7">
        <v>1</v>
      </c>
      <c r="C75" s="7" t="s">
        <v>43</v>
      </c>
    </row>
    <row r="76" spans="1:8" x14ac:dyDescent="0.3">
      <c r="B76" s="7">
        <v>2</v>
      </c>
      <c r="C76" s="7" t="s">
        <v>44</v>
      </c>
    </row>
    <row r="77" spans="1:8" x14ac:dyDescent="0.3">
      <c r="B77" s="7">
        <v>3</v>
      </c>
      <c r="C77" s="7" t="s">
        <v>45</v>
      </c>
    </row>
    <row r="78" spans="1:8" x14ac:dyDescent="0.3">
      <c r="B78" s="7">
        <v>4</v>
      </c>
      <c r="C78" s="15" t="s">
        <v>46</v>
      </c>
    </row>
    <row r="80" spans="1:8" ht="17.399999999999999" x14ac:dyDescent="0.3">
      <c r="A80" s="7">
        <v>9</v>
      </c>
      <c r="B80" s="11" t="s">
        <v>47</v>
      </c>
    </row>
    <row r="81" spans="1:5" x14ac:dyDescent="0.3">
      <c r="B81" s="7" t="s">
        <v>8</v>
      </c>
      <c r="C81" s="7" t="s">
        <v>41</v>
      </c>
    </row>
    <row r="82" spans="1:5" x14ac:dyDescent="0.3">
      <c r="B82" s="7" t="s">
        <v>9</v>
      </c>
      <c r="C82" s="7" t="s">
        <v>16</v>
      </c>
    </row>
    <row r="83" spans="1:5" x14ac:dyDescent="0.3">
      <c r="B83" s="7" t="s">
        <v>21</v>
      </c>
      <c r="C83" s="7" t="s">
        <v>40</v>
      </c>
    </row>
    <row r="84" spans="1:5" x14ac:dyDescent="0.3">
      <c r="B84" s="7" t="s">
        <v>48</v>
      </c>
      <c r="C84" s="7" t="s">
        <v>16</v>
      </c>
    </row>
    <row r="85" spans="1:5" x14ac:dyDescent="0.3">
      <c r="B85" s="7" t="s">
        <v>50</v>
      </c>
      <c r="C85" s="7" t="s">
        <v>49</v>
      </c>
    </row>
    <row r="87" spans="1:5" ht="17.399999999999999" x14ac:dyDescent="0.35">
      <c r="A87" s="7">
        <v>10</v>
      </c>
      <c r="B87" s="9" t="s">
        <v>51</v>
      </c>
    </row>
    <row r="88" spans="1:5" ht="15" thickBot="1" x14ac:dyDescent="0.35"/>
    <row r="89" spans="1:5" ht="18" thickBot="1" x14ac:dyDescent="0.35">
      <c r="B89" s="1" t="s">
        <v>52</v>
      </c>
      <c r="C89" s="1" t="s">
        <v>3</v>
      </c>
      <c r="D89" s="1" t="s">
        <v>4</v>
      </c>
      <c r="E89" s="1" t="s">
        <v>15</v>
      </c>
    </row>
    <row r="90" spans="1:5" ht="18" thickBot="1" x14ac:dyDescent="0.35">
      <c r="B90" s="2" t="s">
        <v>8</v>
      </c>
      <c r="C90" s="2">
        <v>32</v>
      </c>
      <c r="D90" s="2">
        <v>28</v>
      </c>
      <c r="E90" s="2">
        <v>8</v>
      </c>
    </row>
    <row r="91" spans="1:5" ht="18" thickBot="1" x14ac:dyDescent="0.35">
      <c r="B91" s="2" t="s">
        <v>9</v>
      </c>
      <c r="C91" s="2">
        <v>45</v>
      </c>
      <c r="D91" s="2">
        <v>44</v>
      </c>
      <c r="E91" s="2">
        <v>5</v>
      </c>
    </row>
    <row r="93" spans="1:5" x14ac:dyDescent="0.3">
      <c r="C93" s="7" t="s">
        <v>8</v>
      </c>
      <c r="D93" s="7" t="s">
        <v>9</v>
      </c>
    </row>
    <row r="94" spans="1:5" x14ac:dyDescent="0.3">
      <c r="B94" s="7">
        <v>1</v>
      </c>
      <c r="C94" s="7">
        <f>E90/C90*100</f>
        <v>25</v>
      </c>
      <c r="D94" s="7">
        <f>E91/C91*100</f>
        <v>11.111111111111111</v>
      </c>
    </row>
    <row r="95" spans="1:5" x14ac:dyDescent="0.3">
      <c r="B95" s="7">
        <v>2</v>
      </c>
      <c r="C95" s="7" t="s">
        <v>53</v>
      </c>
    </row>
    <row r="96" spans="1:5" x14ac:dyDescent="0.3">
      <c r="B96" s="7">
        <v>3</v>
      </c>
      <c r="C96" s="7" t="s">
        <v>53</v>
      </c>
    </row>
    <row r="97" spans="2:3" x14ac:dyDescent="0.3">
      <c r="B97" s="7">
        <v>4</v>
      </c>
      <c r="C97" s="7" t="s">
        <v>53</v>
      </c>
    </row>
    <row r="98" spans="2:3" x14ac:dyDescent="0.3">
      <c r="B98" s="7">
        <v>5</v>
      </c>
      <c r="C98" s="7" t="s">
        <v>53</v>
      </c>
    </row>
    <row r="99" spans="2:3" x14ac:dyDescent="0.3">
      <c r="B99" s="7">
        <v>6</v>
      </c>
      <c r="C99" s="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2026-08-16T09:27:22Z</dcterms:created>
  <dcterms:modified xsi:type="dcterms:W3CDTF">2026-08-17T05:06:03Z</dcterms:modified>
</cp:coreProperties>
</file>