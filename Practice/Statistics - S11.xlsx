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8_{7F29CA9E-9363-4D72-BEE3-6B093FA54188}" xr6:coauthVersionLast="47" xr6:coauthVersionMax="47" xr10:uidLastSave="{00000000-0000-0000-0000-000000000000}"/>
  <bookViews>
    <workbookView xWindow="-108" yWindow="-108" windowWidth="23256" windowHeight="12456" xr2:uid="{941369D6-790E-4956-BB25-6ED1A1398488}"/>
  </bookViews>
  <sheets>
    <sheet name="S11" sheetId="1" r:id="rId1"/>
  </sheets>
  <definedNames>
    <definedName name="_xlchart.v1.0" hidden="1">'S11'!$B$51</definedName>
    <definedName name="_xlchart.v1.1" hidden="1">'S11'!$B$52:$B$75</definedName>
    <definedName name="_xlchart.v1.2" hidden="1">'S11'!$B$51</definedName>
    <definedName name="_xlchart.v1.3" hidden="1">'S11'!$B$52:$B$75</definedName>
    <definedName name="_xlchart.v1.4" hidden="1">'S11'!$B$51</definedName>
    <definedName name="_xlchart.v1.5" hidden="1">'S11'!$B$52:$B$75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1" l="1"/>
  <c r="E56" i="1"/>
  <c r="E55" i="1"/>
  <c r="E54" i="1"/>
  <c r="E53" i="1"/>
  <c r="E52" i="1"/>
  <c r="G40" i="1"/>
  <c r="F40" i="1"/>
  <c r="E40" i="1"/>
  <c r="D40" i="1"/>
  <c r="C40" i="1"/>
  <c r="F28" i="1"/>
  <c r="E28" i="1"/>
  <c r="D28" i="1"/>
  <c r="C28" i="1"/>
  <c r="F20" i="1"/>
  <c r="E20" i="1"/>
  <c r="D20" i="1"/>
  <c r="C20" i="1"/>
  <c r="C12" i="1"/>
  <c r="C4" i="1"/>
</calcChain>
</file>

<file path=xl/sharedStrings.xml><?xml version="1.0" encoding="utf-8"?>
<sst xmlns="http://schemas.openxmlformats.org/spreadsheetml/2006/main" count="40" uniqueCount="32">
  <si>
    <t>Calculate the Mean</t>
  </si>
  <si>
    <t>Value</t>
  </si>
  <si>
    <t>Mean</t>
  </si>
  <si>
    <t>Find the Median</t>
  </si>
  <si>
    <t>Median</t>
  </si>
  <si>
    <t>Complete Statistical Analysis</t>
  </si>
  <si>
    <t>Var.p</t>
  </si>
  <si>
    <t>Stdev.p</t>
  </si>
  <si>
    <t>Quartiles &amp; IQR</t>
  </si>
  <si>
    <t>Q1</t>
  </si>
  <si>
    <t>Q2</t>
  </si>
  <si>
    <t>Q3</t>
  </si>
  <si>
    <t>IOQ</t>
  </si>
  <si>
    <t>Outlier Detection</t>
  </si>
  <si>
    <t>IQR</t>
  </si>
  <si>
    <t>Lower fence</t>
  </si>
  <si>
    <t>Upper fence</t>
  </si>
  <si>
    <t>Yes, 95 is outlier because of it is greater than upper fence</t>
  </si>
  <si>
    <t>Frequency Table</t>
  </si>
  <si>
    <t>Scores</t>
  </si>
  <si>
    <t>Class Interval</t>
  </si>
  <si>
    <t>Frequency</t>
  </si>
  <si>
    <t>40–49</t>
  </si>
  <si>
    <t>50–59</t>
  </si>
  <si>
    <t>60–69</t>
  </si>
  <si>
    <t>70–79</t>
  </si>
  <si>
    <t>80–89</t>
  </si>
  <si>
    <t>90–99</t>
  </si>
  <si>
    <t xml:space="preserve">Histogram </t>
  </si>
  <si>
    <t>class (42-51) and (60-69) has the highest bar.</t>
  </si>
  <si>
    <t>class (87-96) has the lowest bar.</t>
  </si>
  <si>
    <t>yes data is evenly distributed and right skewed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</si>
</sst>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Chart Title</cx:v>
        </cx:txData>
      </cx:tx>
    </cx:title>
    <cx:plotArea>
      <cx:plotAreaRegion>
        <cx:series layoutId="clusteredColumn" uniqueId="{00000000-1371-4DA1-88A6-D2ACF731A617}">
          <cx:tx>
            <cx:txData>
              <cx:f>_xlchart.v1.4</cx:f>
              <cx:v>Scores</cx:v>
            </cx:txData>
          </cx:tx>
          <cx:dataLabels/>
          <cx:dataId val="0"/>
          <cx:layoutPr>
            <cx:binning intervalClosed="r">
              <cx:binSize val="9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77</xdr:row>
      <xdr:rowOff>21431</xdr:rowOff>
    </xdr:from>
    <xdr:to>
      <xdr:col>5</xdr:col>
      <xdr:colOff>128587</xdr:colOff>
      <xdr:row>90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6FCCD02-ED07-AC59-AA06-2858A3A564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17242631"/>
              <a:ext cx="3133725" cy="24455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22A6-AA0D-4708-8695-83424BEF5343}">
  <dimension ref="A2:G94"/>
  <sheetViews>
    <sheetView tabSelected="1" topLeftCell="A10" zoomScale="160" zoomScaleNormal="160" workbookViewId="0">
      <selection activeCell="D8" sqref="D8"/>
    </sheetView>
  </sheetViews>
  <sheetFormatPr defaultRowHeight="15.6" x14ac:dyDescent="0.3"/>
  <cols>
    <col min="1" max="3" width="8.88671875" style="1"/>
    <col min="4" max="4" width="14.6640625" style="1" bestFit="1" customWidth="1"/>
    <col min="5" max="5" width="11.5546875" style="1" bestFit="1" customWidth="1"/>
    <col min="6" max="6" width="11.109375" style="1" bestFit="1" customWidth="1"/>
    <col min="7" max="7" width="11" style="1" bestFit="1" customWidth="1"/>
    <col min="8" max="16384" width="8.88671875" style="1"/>
  </cols>
  <sheetData>
    <row r="2" spans="1:3" ht="16.2" thickBot="1" x14ac:dyDescent="0.35">
      <c r="A2" s="1">
        <v>2</v>
      </c>
      <c r="B2" s="1" t="s">
        <v>0</v>
      </c>
    </row>
    <row r="3" spans="1:3" ht="16.2" thickBot="1" x14ac:dyDescent="0.35">
      <c r="B3" s="2" t="s">
        <v>1</v>
      </c>
      <c r="C3" s="1" t="s">
        <v>2</v>
      </c>
    </row>
    <row r="4" spans="1:3" ht="16.2" thickBot="1" x14ac:dyDescent="0.35">
      <c r="B4" s="3">
        <v>35</v>
      </c>
      <c r="C4" s="1">
        <f>AVERAGE(B4:B8)</f>
        <v>45</v>
      </c>
    </row>
    <row r="5" spans="1:3" ht="16.2" thickBot="1" x14ac:dyDescent="0.35">
      <c r="B5" s="3">
        <v>40</v>
      </c>
    </row>
    <row r="6" spans="1:3" ht="16.2" thickBot="1" x14ac:dyDescent="0.35">
      <c r="B6" s="3">
        <v>45</v>
      </c>
    </row>
    <row r="7" spans="1:3" ht="16.2" thickBot="1" x14ac:dyDescent="0.35">
      <c r="B7" s="3">
        <v>50</v>
      </c>
    </row>
    <row r="8" spans="1:3" ht="16.2" thickBot="1" x14ac:dyDescent="0.35">
      <c r="B8" s="3">
        <v>55</v>
      </c>
    </row>
    <row r="10" spans="1:3" ht="16.2" thickBot="1" x14ac:dyDescent="0.35">
      <c r="A10" s="1">
        <v>3</v>
      </c>
      <c r="B10" s="4" t="s">
        <v>3</v>
      </c>
    </row>
    <row r="11" spans="1:3" ht="16.2" thickBot="1" x14ac:dyDescent="0.35">
      <c r="B11" s="2" t="s">
        <v>1</v>
      </c>
      <c r="C11" s="1" t="s">
        <v>4</v>
      </c>
    </row>
    <row r="12" spans="1:3" ht="16.2" thickBot="1" x14ac:dyDescent="0.35">
      <c r="B12" s="3">
        <v>56</v>
      </c>
      <c r="C12" s="1">
        <f>MEDIAN(B12:B16)</f>
        <v>48</v>
      </c>
    </row>
    <row r="13" spans="1:3" ht="16.2" thickBot="1" x14ac:dyDescent="0.35">
      <c r="B13" s="3">
        <v>40</v>
      </c>
    </row>
    <row r="14" spans="1:3" ht="16.2" thickBot="1" x14ac:dyDescent="0.35">
      <c r="B14" s="3">
        <v>48</v>
      </c>
    </row>
    <row r="15" spans="1:3" ht="16.2" thickBot="1" x14ac:dyDescent="0.35">
      <c r="B15" s="3">
        <v>44</v>
      </c>
    </row>
    <row r="16" spans="1:3" ht="16.2" thickBot="1" x14ac:dyDescent="0.35">
      <c r="B16" s="3">
        <v>52</v>
      </c>
    </row>
    <row r="18" spans="1:6" ht="16.2" thickBot="1" x14ac:dyDescent="0.35">
      <c r="A18" s="1">
        <v>4</v>
      </c>
      <c r="B18" s="4" t="s">
        <v>5</v>
      </c>
    </row>
    <row r="19" spans="1:6" ht="16.2" thickBot="1" x14ac:dyDescent="0.35">
      <c r="B19" s="2" t="s">
        <v>1</v>
      </c>
      <c r="C19" s="1" t="s">
        <v>2</v>
      </c>
      <c r="D19" s="1" t="s">
        <v>4</v>
      </c>
      <c r="E19" s="1" t="s">
        <v>6</v>
      </c>
      <c r="F19" s="1" t="s">
        <v>7</v>
      </c>
    </row>
    <row r="20" spans="1:6" ht="16.2" thickBot="1" x14ac:dyDescent="0.35">
      <c r="B20" s="3">
        <v>14</v>
      </c>
      <c r="C20" s="1">
        <f>AVERAGE(B20:B24)</f>
        <v>22</v>
      </c>
      <c r="D20" s="1">
        <f>MEDIAN(B20:B24)</f>
        <v>22</v>
      </c>
      <c r="E20" s="1">
        <f>_xlfn.VAR.P(B20:B24)</f>
        <v>32</v>
      </c>
      <c r="F20" s="1">
        <f>_xlfn.STDEV.P(B20:B24)</f>
        <v>5.6568542494923806</v>
      </c>
    </row>
    <row r="21" spans="1:6" ht="16.2" thickBot="1" x14ac:dyDescent="0.35">
      <c r="B21" s="3">
        <v>18</v>
      </c>
    </row>
    <row r="22" spans="1:6" ht="16.2" thickBot="1" x14ac:dyDescent="0.35">
      <c r="B22" s="3">
        <v>22</v>
      </c>
    </row>
    <row r="23" spans="1:6" ht="16.2" thickBot="1" x14ac:dyDescent="0.35">
      <c r="B23" s="3">
        <v>26</v>
      </c>
    </row>
    <row r="24" spans="1:6" ht="16.2" thickBot="1" x14ac:dyDescent="0.35">
      <c r="B24" s="3">
        <v>30</v>
      </c>
    </row>
    <row r="26" spans="1:6" ht="16.2" thickBot="1" x14ac:dyDescent="0.35">
      <c r="A26" s="1">
        <v>5</v>
      </c>
      <c r="B26" s="4" t="s">
        <v>8</v>
      </c>
    </row>
    <row r="27" spans="1:6" ht="16.2" thickBot="1" x14ac:dyDescent="0.35">
      <c r="B27" s="2" t="s">
        <v>1</v>
      </c>
      <c r="C27" s="1" t="s">
        <v>9</v>
      </c>
      <c r="D27" s="1" t="s">
        <v>10</v>
      </c>
      <c r="E27" s="1" t="s">
        <v>11</v>
      </c>
      <c r="F27" s="1" t="s">
        <v>12</v>
      </c>
    </row>
    <row r="28" spans="1:6" ht="16.2" thickBot="1" x14ac:dyDescent="0.35">
      <c r="B28" s="3">
        <v>9</v>
      </c>
      <c r="C28" s="1">
        <f>_xlfn.QUARTILE.INC(B28:B36,1)</f>
        <v>13</v>
      </c>
      <c r="D28" s="1">
        <f>_xlfn.QUARTILE.INC(B28:B36,2)</f>
        <v>17</v>
      </c>
      <c r="E28" s="1">
        <f>_xlfn.QUARTILE.INC(B28:B36,3)</f>
        <v>21</v>
      </c>
      <c r="F28" s="1">
        <f>E28-C28</f>
        <v>8</v>
      </c>
    </row>
    <row r="29" spans="1:6" ht="16.2" thickBot="1" x14ac:dyDescent="0.35">
      <c r="B29" s="3">
        <v>11</v>
      </c>
    </row>
    <row r="30" spans="1:6" ht="16.2" thickBot="1" x14ac:dyDescent="0.35">
      <c r="B30" s="3">
        <v>13</v>
      </c>
    </row>
    <row r="31" spans="1:6" ht="16.2" thickBot="1" x14ac:dyDescent="0.35">
      <c r="B31" s="3">
        <v>15</v>
      </c>
    </row>
    <row r="32" spans="1:6" ht="16.2" thickBot="1" x14ac:dyDescent="0.35">
      <c r="B32" s="3">
        <v>17</v>
      </c>
    </row>
    <row r="33" spans="1:7" ht="16.2" thickBot="1" x14ac:dyDescent="0.35">
      <c r="B33" s="3">
        <v>19</v>
      </c>
    </row>
    <row r="34" spans="1:7" ht="16.2" thickBot="1" x14ac:dyDescent="0.35">
      <c r="B34" s="3">
        <v>21</v>
      </c>
    </row>
    <row r="35" spans="1:7" ht="16.2" thickBot="1" x14ac:dyDescent="0.35">
      <c r="B35" s="3">
        <v>23</v>
      </c>
    </row>
    <row r="36" spans="1:7" ht="16.2" thickBot="1" x14ac:dyDescent="0.35">
      <c r="B36" s="3">
        <v>25</v>
      </c>
    </row>
    <row r="38" spans="1:7" ht="16.2" thickBot="1" x14ac:dyDescent="0.35">
      <c r="A38" s="1">
        <v>6</v>
      </c>
      <c r="B38" s="4" t="s">
        <v>13</v>
      </c>
    </row>
    <row r="39" spans="1:7" ht="16.2" thickBot="1" x14ac:dyDescent="0.35">
      <c r="B39" s="2" t="s">
        <v>1</v>
      </c>
      <c r="C39" s="1" t="s">
        <v>9</v>
      </c>
      <c r="D39" s="1" t="s">
        <v>11</v>
      </c>
      <c r="E39" s="1" t="s">
        <v>14</v>
      </c>
      <c r="F39" s="1" t="s">
        <v>15</v>
      </c>
      <c r="G39" s="1" t="s">
        <v>16</v>
      </c>
    </row>
    <row r="40" spans="1:7" ht="16.2" thickBot="1" x14ac:dyDescent="0.35">
      <c r="B40" s="3">
        <v>32</v>
      </c>
      <c r="C40" s="1">
        <f>_xlfn.QUARTILE.INC(B40:B48,1)</f>
        <v>36</v>
      </c>
      <c r="D40" s="1">
        <f>_xlfn.QUARTILE.INC(B40:B48,3)</f>
        <v>44</v>
      </c>
      <c r="E40" s="1">
        <f>D40-C40</f>
        <v>8</v>
      </c>
      <c r="F40" s="1">
        <f>C40-(1.5*E40)</f>
        <v>24</v>
      </c>
      <c r="G40" s="1">
        <f>D40+(1.5*E40)</f>
        <v>56</v>
      </c>
    </row>
    <row r="41" spans="1:7" ht="16.2" thickBot="1" x14ac:dyDescent="0.35">
      <c r="B41" s="3">
        <v>34</v>
      </c>
    </row>
    <row r="42" spans="1:7" ht="16.2" thickBot="1" x14ac:dyDescent="0.35">
      <c r="B42" s="3">
        <v>36</v>
      </c>
      <c r="D42" s="1" t="s">
        <v>17</v>
      </c>
    </row>
    <row r="43" spans="1:7" ht="16.2" thickBot="1" x14ac:dyDescent="0.35">
      <c r="B43" s="3">
        <v>38</v>
      </c>
    </row>
    <row r="44" spans="1:7" ht="16.2" thickBot="1" x14ac:dyDescent="0.35">
      <c r="B44" s="3">
        <v>40</v>
      </c>
    </row>
    <row r="45" spans="1:7" ht="16.2" thickBot="1" x14ac:dyDescent="0.35">
      <c r="B45" s="3">
        <v>42</v>
      </c>
    </row>
    <row r="46" spans="1:7" ht="16.2" thickBot="1" x14ac:dyDescent="0.35">
      <c r="B46" s="3">
        <v>44</v>
      </c>
    </row>
    <row r="47" spans="1:7" ht="16.2" thickBot="1" x14ac:dyDescent="0.35">
      <c r="B47" s="3">
        <v>46</v>
      </c>
    </row>
    <row r="48" spans="1:7" ht="16.2" thickBot="1" x14ac:dyDescent="0.35">
      <c r="B48" s="3">
        <v>95</v>
      </c>
    </row>
    <row r="50" spans="1:5" ht="16.2" thickBot="1" x14ac:dyDescent="0.35">
      <c r="A50" s="1">
        <v>7</v>
      </c>
      <c r="B50" s="4" t="s">
        <v>18</v>
      </c>
    </row>
    <row r="51" spans="1:5" ht="16.2" thickBot="1" x14ac:dyDescent="0.35">
      <c r="B51" s="2" t="s">
        <v>19</v>
      </c>
      <c r="D51" s="5" t="s">
        <v>20</v>
      </c>
      <c r="E51" s="5" t="s">
        <v>21</v>
      </c>
    </row>
    <row r="52" spans="1:5" ht="16.2" thickBot="1" x14ac:dyDescent="0.35">
      <c r="B52" s="3">
        <v>42</v>
      </c>
      <c r="D52" s="3" t="s">
        <v>22</v>
      </c>
      <c r="E52" s="3">
        <f>COUNTIFS($B$52:$B$75,"&gt;=40",$B$52:$B$75,"&lt;=49")</f>
        <v>4</v>
      </c>
    </row>
    <row r="53" spans="1:5" ht="16.2" thickBot="1" x14ac:dyDescent="0.35">
      <c r="B53" s="3">
        <v>45</v>
      </c>
      <c r="D53" s="3" t="s">
        <v>23</v>
      </c>
      <c r="E53" s="3">
        <f>COUNTIFS($B$52:$B$75,"&gt;=50",$B$52:$B$75,"&lt;=59")</f>
        <v>5</v>
      </c>
    </row>
    <row r="54" spans="1:5" ht="16.2" thickBot="1" x14ac:dyDescent="0.35">
      <c r="B54" s="3">
        <v>47</v>
      </c>
      <c r="D54" s="3" t="s">
        <v>24</v>
      </c>
      <c r="E54" s="3">
        <f>COUNTIFS($B$52:$B$75,"&gt;=60",$B$52:$B$75,"&lt;=69")</f>
        <v>5</v>
      </c>
    </row>
    <row r="55" spans="1:5" ht="16.2" thickBot="1" x14ac:dyDescent="0.35">
      <c r="B55" s="3">
        <v>48</v>
      </c>
      <c r="D55" s="3" t="s">
        <v>25</v>
      </c>
      <c r="E55" s="3">
        <f>COUNTIFS($B$52:$B$75,"&gt;=70",$B$52:$B$75,"&lt;=79")</f>
        <v>5</v>
      </c>
    </row>
    <row r="56" spans="1:5" ht="16.2" thickBot="1" x14ac:dyDescent="0.35">
      <c r="B56" s="3">
        <v>50</v>
      </c>
      <c r="D56" s="3" t="s">
        <v>26</v>
      </c>
      <c r="E56" s="3">
        <f>COUNTIFS($B$52:$B$75,"&gt;=80",$B$52:$B$75,"&lt;=89")</f>
        <v>4</v>
      </c>
    </row>
    <row r="57" spans="1:5" ht="16.2" thickBot="1" x14ac:dyDescent="0.35">
      <c r="B57" s="3">
        <v>53</v>
      </c>
      <c r="D57" s="3" t="s">
        <v>27</v>
      </c>
      <c r="E57" s="3">
        <f>COUNTIFS($B$52:$B$75,"&gt;=90",$B$52:$B$75,"&lt;=99")</f>
        <v>1</v>
      </c>
    </row>
    <row r="58" spans="1:5" ht="16.2" thickBot="1" x14ac:dyDescent="0.35">
      <c r="B58" s="3">
        <v>55</v>
      </c>
    </row>
    <row r="59" spans="1:5" ht="16.2" thickBot="1" x14ac:dyDescent="0.35">
      <c r="B59" s="3">
        <v>57</v>
      </c>
    </row>
    <row r="60" spans="1:5" ht="16.2" thickBot="1" x14ac:dyDescent="0.35">
      <c r="B60" s="3">
        <v>59</v>
      </c>
    </row>
    <row r="61" spans="1:5" ht="16.2" thickBot="1" x14ac:dyDescent="0.35">
      <c r="B61" s="3">
        <v>61</v>
      </c>
    </row>
    <row r="62" spans="1:5" ht="16.2" thickBot="1" x14ac:dyDescent="0.35">
      <c r="B62" s="3">
        <v>63</v>
      </c>
    </row>
    <row r="63" spans="1:5" ht="16.2" thickBot="1" x14ac:dyDescent="0.35">
      <c r="B63" s="3">
        <v>65</v>
      </c>
    </row>
    <row r="64" spans="1:5" ht="16.2" thickBot="1" x14ac:dyDescent="0.35">
      <c r="B64" s="3">
        <v>67</v>
      </c>
    </row>
    <row r="65" spans="1:2" ht="16.2" thickBot="1" x14ac:dyDescent="0.35">
      <c r="B65" s="3">
        <v>69</v>
      </c>
    </row>
    <row r="66" spans="1:2" ht="16.2" thickBot="1" x14ac:dyDescent="0.35">
      <c r="B66" s="3">
        <v>71</v>
      </c>
    </row>
    <row r="67" spans="1:2" ht="16.2" thickBot="1" x14ac:dyDescent="0.35">
      <c r="B67" s="3">
        <v>73</v>
      </c>
    </row>
    <row r="68" spans="1:2" ht="16.2" thickBot="1" x14ac:dyDescent="0.35">
      <c r="B68" s="3">
        <v>75</v>
      </c>
    </row>
    <row r="69" spans="1:2" ht="16.2" thickBot="1" x14ac:dyDescent="0.35">
      <c r="B69" s="3">
        <v>77</v>
      </c>
    </row>
    <row r="70" spans="1:2" ht="16.2" thickBot="1" x14ac:dyDescent="0.35">
      <c r="B70" s="3">
        <v>79</v>
      </c>
    </row>
    <row r="71" spans="1:2" ht="16.2" thickBot="1" x14ac:dyDescent="0.35">
      <c r="B71" s="3">
        <v>82</v>
      </c>
    </row>
    <row r="72" spans="1:2" ht="16.2" thickBot="1" x14ac:dyDescent="0.35">
      <c r="B72" s="3">
        <v>84</v>
      </c>
    </row>
    <row r="73" spans="1:2" ht="16.2" thickBot="1" x14ac:dyDescent="0.35">
      <c r="B73" s="3">
        <v>86</v>
      </c>
    </row>
    <row r="74" spans="1:2" ht="16.2" thickBot="1" x14ac:dyDescent="0.35">
      <c r="B74" s="3">
        <v>88</v>
      </c>
    </row>
    <row r="75" spans="1:2" ht="16.2" thickBot="1" x14ac:dyDescent="0.35">
      <c r="B75" s="3">
        <v>92</v>
      </c>
    </row>
    <row r="77" spans="1:2" x14ac:dyDescent="0.3">
      <c r="A77" s="1">
        <v>8</v>
      </c>
      <c r="B77" s="4" t="s">
        <v>28</v>
      </c>
    </row>
    <row r="92" spans="2:3" x14ac:dyDescent="0.3">
      <c r="B92" s="1">
        <v>2</v>
      </c>
      <c r="C92" s="1" t="s">
        <v>29</v>
      </c>
    </row>
    <row r="93" spans="2:3" x14ac:dyDescent="0.3">
      <c r="B93" s="1">
        <v>3</v>
      </c>
      <c r="C93" s="1" t="s">
        <v>30</v>
      </c>
    </row>
    <row r="94" spans="2:3" x14ac:dyDescent="0.3">
      <c r="B94" s="1">
        <v>4</v>
      </c>
      <c r="C94" s="1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2026-08-06T12:25:53Z</dcterms:created>
  <dcterms:modified xsi:type="dcterms:W3CDTF">2026-08-06T12:58:20Z</dcterms:modified>
</cp:coreProperties>
</file>