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min\Downloads\"/>
    </mc:Choice>
  </mc:AlternateContent>
  <xr:revisionPtr revIDLastSave="0" documentId="13_ncr:1_{13A9D27C-539D-4939-8E1D-83B2D56859A3}" xr6:coauthVersionLast="47" xr6:coauthVersionMax="47" xr10:uidLastSave="{00000000-0000-0000-0000-000000000000}"/>
  <bookViews>
    <workbookView xWindow="-108" yWindow="-108" windowWidth="23256" windowHeight="12456" xr2:uid="{272BDCDA-33E6-494F-906B-4909B54D34C3}"/>
  </bookViews>
  <sheets>
    <sheet name="S1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2" i="1" l="1"/>
  <c r="C132" i="1"/>
  <c r="D106" i="1"/>
  <c r="D105" i="1"/>
  <c r="D104" i="1"/>
  <c r="D103" i="1"/>
  <c r="D102" i="1"/>
  <c r="E80" i="1"/>
  <c r="E81" i="1"/>
  <c r="E79" i="1"/>
  <c r="D71" i="1"/>
  <c r="C71" i="1"/>
  <c r="D70" i="1"/>
  <c r="C70" i="1"/>
  <c r="D20" i="1"/>
  <c r="C20" i="1"/>
  <c r="D5" i="1"/>
  <c r="C5" i="1"/>
</calcChain>
</file>

<file path=xl/sharedStrings.xml><?xml version="1.0" encoding="utf-8"?>
<sst xmlns="http://schemas.openxmlformats.org/spreadsheetml/2006/main" count="108" uniqueCount="66">
  <si>
    <t>Q</t>
  </si>
  <si>
    <t>Business Decision: Mean vs Median</t>
  </si>
  <si>
    <t>employee annual bonuses</t>
  </si>
  <si>
    <t>Mean</t>
  </si>
  <si>
    <t>Median</t>
  </si>
  <si>
    <t xml:space="preserve">because of used to outlier mean become larger so median is better </t>
  </si>
  <si>
    <t>Standard Deviation vs CV</t>
  </si>
  <si>
    <t>Store</t>
  </si>
  <si>
    <t>Mean Sales</t>
  </si>
  <si>
    <t>SD</t>
  </si>
  <si>
    <t>A</t>
  </si>
  <si>
    <t>B</t>
  </si>
  <si>
    <t>CV</t>
  </si>
  <si>
    <t>Store A</t>
  </si>
  <si>
    <t>Store B</t>
  </si>
  <si>
    <t>Because of data has outlier so SD is bacomming low - high so looking only SD is misleading</t>
  </si>
  <si>
    <t>IQR and Outlier Resistance</t>
  </si>
  <si>
    <t>Dataset A</t>
  </si>
  <si>
    <t>Dataset B</t>
  </si>
  <si>
    <t>Both dataset return same range</t>
  </si>
  <si>
    <t>IQR</t>
  </si>
  <si>
    <t>IQR is less affected by extreme values because it uses Q1 and Q3 rather than the minimum and maximum.</t>
  </si>
  <si>
    <t>No. IQR is resistant to extreme values because it is based on Q1 and Q3.</t>
  </si>
  <si>
    <t>Distribution Shape</t>
  </si>
  <si>
    <t>Statistic</t>
  </si>
  <si>
    <t>Value</t>
  </si>
  <si>
    <t>Minimum</t>
  </si>
  <si>
    <t>Q1</t>
  </si>
  <si>
    <t>Q3</t>
  </si>
  <si>
    <t>Maximum</t>
  </si>
  <si>
    <t>Right side</t>
  </si>
  <si>
    <t>right - skewed</t>
  </si>
  <si>
    <t xml:space="preserve">compare to Q1 , Q3 is far away from maximum value </t>
  </si>
  <si>
    <t>The distribution is likely right-skewed because the right tail is much longer than the left tail.</t>
  </si>
  <si>
    <t>Box Plot Comparison</t>
  </si>
  <si>
    <t>Product A</t>
  </si>
  <si>
    <t>Product B</t>
  </si>
  <si>
    <t>CV Ranking</t>
  </si>
  <si>
    <t>Investment</t>
  </si>
  <si>
    <t>Mean Return</t>
  </si>
  <si>
    <t>C</t>
  </si>
  <si>
    <t>Yes it can</t>
  </si>
  <si>
    <t>used to some values it can happen</t>
  </si>
  <si>
    <t>C,A,B</t>
  </si>
  <si>
    <t xml:space="preserve">C </t>
  </si>
  <si>
    <t>Outlier Detection</t>
  </si>
  <si>
    <t>Dataset</t>
  </si>
  <si>
    <t>Lower fence</t>
  </si>
  <si>
    <t>Upper fence</t>
  </si>
  <si>
    <t>Outlier</t>
  </si>
  <si>
    <t>Reason</t>
  </si>
  <si>
    <t>because of 55 is greater than upper fence</t>
  </si>
  <si>
    <t>Choose the Correct Measure</t>
  </si>
  <si>
    <t>D</t>
  </si>
  <si>
    <t>Box plot</t>
  </si>
  <si>
    <t>E</t>
  </si>
  <si>
    <t>F</t>
  </si>
  <si>
    <t>Find the Wrong Interpretation</t>
  </si>
  <si>
    <t>No</t>
  </si>
  <si>
    <t>because of SD low means not always consistent we also compare with mean</t>
  </si>
  <si>
    <t xml:space="preserve">because of mean </t>
  </si>
  <si>
    <t>Full Analyst Case</t>
  </si>
  <si>
    <t>Company</t>
  </si>
  <si>
    <t>Company A</t>
  </si>
  <si>
    <t>Company B</t>
  </si>
  <si>
    <t xml:space="preserve">because of many time SD is low but mean is high so DA consider both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</si>
</sst>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6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6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2" fillId="0" borderId="2" xfId="0" applyFont="1" applyBorder="1" applyAlignment="1">
      <alignment horizontal="center"/>
    </xf>
    <xf numFmtId="6" fontId="3" fillId="0" borderId="2" xfId="0" applyNumberFormat="1" applyFont="1" applyBorder="1" applyAlignment="1">
      <alignment horizontal="center" vertical="center"/>
    </xf>
    <xf numFmtId="6" fontId="0" fillId="0" borderId="2" xfId="0" applyNumberForma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E9951-DD56-492A-A29B-52E4C4661237}">
  <dimension ref="A1:M138"/>
  <sheetViews>
    <sheetView tabSelected="1" topLeftCell="A136" zoomScale="190" zoomScaleNormal="190" workbookViewId="0">
      <selection activeCell="B90" sqref="B90"/>
    </sheetView>
  </sheetViews>
  <sheetFormatPr defaultRowHeight="14.4" x14ac:dyDescent="0.3"/>
  <cols>
    <col min="1" max="1" width="8.88671875" style="8"/>
    <col min="2" max="2" width="37.77734375" style="8" bestFit="1" customWidth="1"/>
    <col min="3" max="3" width="14.5546875" style="8" bestFit="1" customWidth="1"/>
    <col min="4" max="4" width="11" style="8" bestFit="1" customWidth="1"/>
    <col min="5" max="16384" width="8.88671875" style="8"/>
  </cols>
  <sheetData>
    <row r="1" spans="1:13" x14ac:dyDescent="0.3">
      <c r="A1" s="8" t="s">
        <v>0</v>
      </c>
    </row>
    <row r="2" spans="1:13" ht="17.399999999999999" x14ac:dyDescent="0.35">
      <c r="A2" s="8">
        <v>1</v>
      </c>
      <c r="B2" s="9" t="s">
        <v>1</v>
      </c>
    </row>
    <row r="4" spans="1:13" ht="17.399999999999999" x14ac:dyDescent="0.35">
      <c r="B4" s="13" t="s">
        <v>2</v>
      </c>
      <c r="C4" s="16" t="s">
        <v>3</v>
      </c>
      <c r="D4" s="16" t="s">
        <v>4</v>
      </c>
    </row>
    <row r="5" spans="1:13" ht="17.399999999999999" x14ac:dyDescent="0.3">
      <c r="B5" s="14">
        <v>18000</v>
      </c>
      <c r="C5" s="15">
        <f>AVERAGE(B5:B11)</f>
        <v>40857.142857142855</v>
      </c>
      <c r="D5" s="15">
        <f>MEDIAN(B5:B11)</f>
        <v>24000</v>
      </c>
      <c r="G5" s="11"/>
      <c r="M5" s="10"/>
    </row>
    <row r="6" spans="1:13" x14ac:dyDescent="0.3">
      <c r="B6" s="15">
        <v>20000</v>
      </c>
    </row>
    <row r="7" spans="1:13" x14ac:dyDescent="0.3">
      <c r="B7" s="15">
        <v>22000</v>
      </c>
    </row>
    <row r="8" spans="1:13" x14ac:dyDescent="0.3">
      <c r="B8" s="15">
        <v>24000</v>
      </c>
      <c r="D8" s="8">
        <v>3</v>
      </c>
      <c r="E8" s="8" t="s">
        <v>4</v>
      </c>
    </row>
    <row r="9" spans="1:13" x14ac:dyDescent="0.3">
      <c r="B9" s="15">
        <v>25000</v>
      </c>
      <c r="D9" s="8">
        <v>4</v>
      </c>
      <c r="E9" s="12" t="s">
        <v>5</v>
      </c>
    </row>
    <row r="10" spans="1:13" x14ac:dyDescent="0.3">
      <c r="B10" s="15">
        <v>27000</v>
      </c>
    </row>
    <row r="11" spans="1:13" x14ac:dyDescent="0.3">
      <c r="B11" s="15">
        <v>150000</v>
      </c>
    </row>
    <row r="13" spans="1:13" ht="17.399999999999999" x14ac:dyDescent="0.35">
      <c r="A13" s="8">
        <v>2</v>
      </c>
      <c r="B13" s="9" t="s">
        <v>6</v>
      </c>
    </row>
    <row r="14" spans="1:13" ht="15" thickBot="1" x14ac:dyDescent="0.35"/>
    <row r="15" spans="1:13" ht="18" thickBot="1" x14ac:dyDescent="0.35">
      <c r="B15" s="1" t="s">
        <v>7</v>
      </c>
      <c r="C15" s="4" t="s">
        <v>8</v>
      </c>
      <c r="D15" s="1" t="s">
        <v>9</v>
      </c>
    </row>
    <row r="16" spans="1:13" ht="18" thickBot="1" x14ac:dyDescent="0.35">
      <c r="B16" s="2" t="s">
        <v>10</v>
      </c>
      <c r="C16" s="3">
        <v>30000</v>
      </c>
      <c r="D16" s="3">
        <v>3000</v>
      </c>
    </row>
    <row r="17" spans="1:4" ht="18" thickBot="1" x14ac:dyDescent="0.35">
      <c r="B17" s="2" t="s">
        <v>11</v>
      </c>
      <c r="C17" s="3">
        <v>90000</v>
      </c>
      <c r="D17" s="3">
        <v>6000</v>
      </c>
    </row>
    <row r="19" spans="1:4" x14ac:dyDescent="0.3">
      <c r="C19" s="8" t="s">
        <v>10</v>
      </c>
      <c r="D19" s="8" t="s">
        <v>11</v>
      </c>
    </row>
    <row r="20" spans="1:4" x14ac:dyDescent="0.3">
      <c r="B20" s="8">
        <v>1</v>
      </c>
      <c r="C20" s="8">
        <f>D16/C16*100</f>
        <v>10</v>
      </c>
      <c r="D20" s="8">
        <f>D17/C17*100</f>
        <v>6.666666666666667</v>
      </c>
    </row>
    <row r="21" spans="1:4" x14ac:dyDescent="0.3">
      <c r="B21" s="8">
        <v>2</v>
      </c>
      <c r="C21" s="8" t="s">
        <v>13</v>
      </c>
    </row>
    <row r="22" spans="1:4" x14ac:dyDescent="0.3">
      <c r="B22" s="8">
        <v>3</v>
      </c>
      <c r="C22" s="8" t="s">
        <v>14</v>
      </c>
    </row>
    <row r="23" spans="1:4" x14ac:dyDescent="0.3">
      <c r="B23" s="8">
        <v>4</v>
      </c>
      <c r="C23" s="8" t="s">
        <v>14</v>
      </c>
    </row>
    <row r="24" spans="1:4" x14ac:dyDescent="0.3">
      <c r="B24" s="8">
        <v>5</v>
      </c>
      <c r="C24" s="12" t="s">
        <v>15</v>
      </c>
    </row>
    <row r="26" spans="1:4" ht="17.399999999999999" x14ac:dyDescent="0.3">
      <c r="A26" s="8">
        <v>3</v>
      </c>
      <c r="B26" s="11" t="s">
        <v>16</v>
      </c>
    </row>
    <row r="28" spans="1:4" ht="17.399999999999999" x14ac:dyDescent="0.35">
      <c r="B28" s="13" t="s">
        <v>17</v>
      </c>
      <c r="C28" s="13" t="s">
        <v>18</v>
      </c>
    </row>
    <row r="29" spans="1:4" ht="17.399999999999999" x14ac:dyDescent="0.3">
      <c r="B29" s="18">
        <v>10</v>
      </c>
      <c r="C29" s="18">
        <v>10</v>
      </c>
    </row>
    <row r="30" spans="1:4" x14ac:dyDescent="0.3">
      <c r="B30" s="17">
        <v>12</v>
      </c>
      <c r="C30" s="17">
        <v>12</v>
      </c>
    </row>
    <row r="31" spans="1:4" x14ac:dyDescent="0.3">
      <c r="B31" s="17">
        <v>14</v>
      </c>
      <c r="C31" s="17">
        <v>14</v>
      </c>
    </row>
    <row r="32" spans="1:4" x14ac:dyDescent="0.3">
      <c r="B32" s="17">
        <v>15</v>
      </c>
      <c r="C32" s="17">
        <v>15</v>
      </c>
    </row>
    <row r="33" spans="1:4" ht="17.399999999999999" x14ac:dyDescent="0.3">
      <c r="B33" s="17">
        <v>16</v>
      </c>
      <c r="C33" s="17">
        <v>16</v>
      </c>
      <c r="D33" s="11"/>
    </row>
    <row r="34" spans="1:4" x14ac:dyDescent="0.3">
      <c r="B34" s="17">
        <v>18</v>
      </c>
      <c r="C34" s="17">
        <v>18</v>
      </c>
    </row>
    <row r="35" spans="1:4" x14ac:dyDescent="0.3">
      <c r="B35" s="17">
        <v>20</v>
      </c>
      <c r="C35" s="17">
        <v>100</v>
      </c>
    </row>
    <row r="37" spans="1:4" x14ac:dyDescent="0.3">
      <c r="B37" s="8">
        <v>1</v>
      </c>
      <c r="C37" s="8" t="s">
        <v>18</v>
      </c>
    </row>
    <row r="38" spans="1:4" ht="17.399999999999999" x14ac:dyDescent="0.3">
      <c r="B38" s="11">
        <v>2</v>
      </c>
      <c r="C38" s="8" t="s">
        <v>20</v>
      </c>
    </row>
    <row r="39" spans="1:4" x14ac:dyDescent="0.3">
      <c r="B39" s="8">
        <v>3</v>
      </c>
      <c r="C39" s="12" t="s">
        <v>21</v>
      </c>
    </row>
    <row r="40" spans="1:4" x14ac:dyDescent="0.3">
      <c r="B40" s="8">
        <v>4</v>
      </c>
      <c r="C40" s="12" t="s">
        <v>19</v>
      </c>
    </row>
    <row r="41" spans="1:4" x14ac:dyDescent="0.3">
      <c r="B41" s="8">
        <v>5</v>
      </c>
      <c r="C41" s="12" t="s">
        <v>22</v>
      </c>
    </row>
    <row r="43" spans="1:4" ht="17.399999999999999" x14ac:dyDescent="0.3">
      <c r="A43" s="8">
        <v>4</v>
      </c>
      <c r="B43" s="11" t="s">
        <v>23</v>
      </c>
    </row>
    <row r="44" spans="1:4" ht="15" thickBot="1" x14ac:dyDescent="0.35"/>
    <row r="45" spans="1:4" ht="18" thickBot="1" x14ac:dyDescent="0.35">
      <c r="B45" s="1" t="s">
        <v>24</v>
      </c>
      <c r="C45" s="1" t="s">
        <v>25</v>
      </c>
    </row>
    <row r="46" spans="1:4" ht="18" thickBot="1" x14ac:dyDescent="0.35">
      <c r="B46" s="2" t="s">
        <v>26</v>
      </c>
      <c r="C46" s="2">
        <v>8</v>
      </c>
    </row>
    <row r="47" spans="1:4" ht="18" thickBot="1" x14ac:dyDescent="0.35">
      <c r="B47" s="2" t="s">
        <v>27</v>
      </c>
      <c r="C47" s="2">
        <v>15</v>
      </c>
    </row>
    <row r="48" spans="1:4" ht="18" thickBot="1" x14ac:dyDescent="0.35">
      <c r="B48" s="2" t="s">
        <v>4</v>
      </c>
      <c r="C48" s="2">
        <v>20</v>
      </c>
    </row>
    <row r="49" spans="1:4" ht="18" thickBot="1" x14ac:dyDescent="0.35">
      <c r="B49" s="2" t="s">
        <v>28</v>
      </c>
      <c r="C49" s="2">
        <v>32</v>
      </c>
    </row>
    <row r="50" spans="1:4" ht="18" thickBot="1" x14ac:dyDescent="0.35">
      <c r="B50" s="2" t="s">
        <v>29</v>
      </c>
      <c r="C50" s="2">
        <v>70</v>
      </c>
    </row>
    <row r="52" spans="1:4" ht="17.399999999999999" x14ac:dyDescent="0.3">
      <c r="B52" s="8">
        <v>1</v>
      </c>
      <c r="C52" s="5">
        <v>7</v>
      </c>
    </row>
    <row r="53" spans="1:4" ht="17.399999999999999" x14ac:dyDescent="0.3">
      <c r="B53" s="8">
        <v>2</v>
      </c>
      <c r="C53" s="5">
        <v>38</v>
      </c>
    </row>
    <row r="54" spans="1:4" x14ac:dyDescent="0.3">
      <c r="B54" s="8">
        <v>3</v>
      </c>
      <c r="C54" s="12" t="s">
        <v>30</v>
      </c>
    </row>
    <row r="55" spans="1:4" x14ac:dyDescent="0.3">
      <c r="B55" s="8">
        <v>4</v>
      </c>
      <c r="C55" s="12" t="s">
        <v>31</v>
      </c>
    </row>
    <row r="56" spans="1:4" x14ac:dyDescent="0.3">
      <c r="B56" s="8">
        <v>5</v>
      </c>
      <c r="C56" s="12" t="s">
        <v>32</v>
      </c>
    </row>
    <row r="57" spans="1:4" x14ac:dyDescent="0.3">
      <c r="C57" s="12" t="s">
        <v>33</v>
      </c>
    </row>
    <row r="59" spans="1:4" ht="17.399999999999999" x14ac:dyDescent="0.35">
      <c r="A59" s="8">
        <v>5</v>
      </c>
      <c r="B59" s="9" t="s">
        <v>34</v>
      </c>
    </row>
    <row r="60" spans="1:4" ht="15" thickBot="1" x14ac:dyDescent="0.35"/>
    <row r="61" spans="1:4" ht="18" thickBot="1" x14ac:dyDescent="0.35">
      <c r="B61" s="1" t="s">
        <v>24</v>
      </c>
      <c r="C61" s="1" t="s">
        <v>35</v>
      </c>
      <c r="D61" s="4" t="s">
        <v>36</v>
      </c>
    </row>
    <row r="62" spans="1:4" ht="18" thickBot="1" x14ac:dyDescent="0.35">
      <c r="B62" s="2" t="s">
        <v>26</v>
      </c>
      <c r="C62" s="2">
        <v>20</v>
      </c>
      <c r="D62" s="2">
        <v>10</v>
      </c>
    </row>
    <row r="63" spans="1:4" ht="18" thickBot="1" x14ac:dyDescent="0.35">
      <c r="B63" s="2" t="s">
        <v>27</v>
      </c>
      <c r="C63" s="2">
        <v>30</v>
      </c>
      <c r="D63" s="2">
        <v>25</v>
      </c>
    </row>
    <row r="64" spans="1:4" ht="18" thickBot="1" x14ac:dyDescent="0.35">
      <c r="B64" s="2" t="s">
        <v>4</v>
      </c>
      <c r="C64" s="2">
        <v>40</v>
      </c>
      <c r="D64" s="2">
        <v>35</v>
      </c>
    </row>
    <row r="65" spans="1:5" ht="18" thickBot="1" x14ac:dyDescent="0.35">
      <c r="B65" s="2" t="s">
        <v>28</v>
      </c>
      <c r="C65" s="2">
        <v>50</v>
      </c>
      <c r="D65" s="2">
        <v>60</v>
      </c>
    </row>
    <row r="66" spans="1:5" ht="18" thickBot="1" x14ac:dyDescent="0.35">
      <c r="B66" s="2" t="s">
        <v>29</v>
      </c>
      <c r="C66" s="2">
        <v>65</v>
      </c>
      <c r="D66" s="2">
        <v>100</v>
      </c>
    </row>
    <row r="68" spans="1:5" x14ac:dyDescent="0.3">
      <c r="C68" s="8" t="s">
        <v>10</v>
      </c>
      <c r="D68" s="8" t="s">
        <v>11</v>
      </c>
    </row>
    <row r="69" spans="1:5" x14ac:dyDescent="0.3">
      <c r="B69" s="8">
        <v>1</v>
      </c>
      <c r="C69" s="8" t="s">
        <v>35</v>
      </c>
    </row>
    <row r="70" spans="1:5" x14ac:dyDescent="0.3">
      <c r="B70" s="8">
        <v>2</v>
      </c>
      <c r="C70" s="8">
        <f>C65-C63</f>
        <v>20</v>
      </c>
      <c r="D70" s="8">
        <f>D65-D63</f>
        <v>35</v>
      </c>
    </row>
    <row r="71" spans="1:5" x14ac:dyDescent="0.3">
      <c r="B71" s="8">
        <v>3</v>
      </c>
      <c r="C71" s="8">
        <f>C66-C62</f>
        <v>45</v>
      </c>
      <c r="D71" s="8">
        <f>D66-D62</f>
        <v>90</v>
      </c>
    </row>
    <row r="72" spans="1:5" x14ac:dyDescent="0.3">
      <c r="B72" s="8">
        <v>4</v>
      </c>
      <c r="C72" s="8" t="s">
        <v>36</v>
      </c>
    </row>
    <row r="73" spans="1:5" x14ac:dyDescent="0.3">
      <c r="B73" s="8">
        <v>5</v>
      </c>
      <c r="C73" s="8" t="s">
        <v>35</v>
      </c>
    </row>
    <row r="74" spans="1:5" x14ac:dyDescent="0.3">
      <c r="B74" s="8">
        <v>6</v>
      </c>
      <c r="C74" s="8" t="s">
        <v>36</v>
      </c>
    </row>
    <row r="76" spans="1:5" ht="17.399999999999999" x14ac:dyDescent="0.35">
      <c r="A76" s="8">
        <v>6</v>
      </c>
      <c r="B76" s="9" t="s">
        <v>37</v>
      </c>
    </row>
    <row r="77" spans="1:5" ht="15" thickBot="1" x14ac:dyDescent="0.35"/>
    <row r="78" spans="1:5" ht="18" thickBot="1" x14ac:dyDescent="0.35">
      <c r="B78" s="1" t="s">
        <v>38</v>
      </c>
      <c r="C78" s="4" t="s">
        <v>39</v>
      </c>
      <c r="D78" s="1" t="s">
        <v>9</v>
      </c>
      <c r="E78" s="8" t="s">
        <v>12</v>
      </c>
    </row>
    <row r="79" spans="1:5" ht="18" thickBot="1" x14ac:dyDescent="0.35">
      <c r="B79" s="2" t="s">
        <v>10</v>
      </c>
      <c r="C79" s="6">
        <v>0.08</v>
      </c>
      <c r="D79" s="7">
        <v>1.6E-2</v>
      </c>
      <c r="E79" s="8">
        <f>D79/C79*100</f>
        <v>20</v>
      </c>
    </row>
    <row r="80" spans="1:5" ht="18" thickBot="1" x14ac:dyDescent="0.35">
      <c r="B80" s="2" t="s">
        <v>11</v>
      </c>
      <c r="C80" s="6">
        <v>0.15</v>
      </c>
      <c r="D80" s="6">
        <v>0.03</v>
      </c>
      <c r="E80" s="8">
        <f t="shared" ref="E80:E81" si="0">D80/C80*100</f>
        <v>20</v>
      </c>
    </row>
    <row r="81" spans="1:5" ht="18" thickBot="1" x14ac:dyDescent="0.35">
      <c r="B81" s="2" t="s">
        <v>40</v>
      </c>
      <c r="C81" s="6">
        <v>0.25</v>
      </c>
      <c r="D81" s="6">
        <v>0.04</v>
      </c>
      <c r="E81" s="8">
        <f t="shared" si="0"/>
        <v>16</v>
      </c>
    </row>
    <row r="83" spans="1:5" x14ac:dyDescent="0.3">
      <c r="B83" s="8">
        <v>1</v>
      </c>
      <c r="C83" s="8" t="s">
        <v>43</v>
      </c>
    </row>
    <row r="84" spans="1:5" x14ac:dyDescent="0.3">
      <c r="B84" s="8">
        <v>2</v>
      </c>
      <c r="C84" s="8" t="s">
        <v>44</v>
      </c>
    </row>
    <row r="85" spans="1:5" x14ac:dyDescent="0.3">
      <c r="B85" s="8">
        <v>3</v>
      </c>
      <c r="C85" s="8" t="s">
        <v>41</v>
      </c>
    </row>
    <row r="86" spans="1:5" x14ac:dyDescent="0.3">
      <c r="B86" s="8">
        <v>4</v>
      </c>
      <c r="C86" s="12" t="s">
        <v>42</v>
      </c>
    </row>
    <row r="88" spans="1:5" ht="17.399999999999999" x14ac:dyDescent="0.35">
      <c r="A88" s="8">
        <v>7</v>
      </c>
      <c r="B88" s="9" t="s">
        <v>45</v>
      </c>
    </row>
    <row r="90" spans="1:5" ht="17.399999999999999" x14ac:dyDescent="0.35">
      <c r="B90" s="13" t="s">
        <v>46</v>
      </c>
      <c r="C90" s="11"/>
    </row>
    <row r="91" spans="1:5" ht="17.399999999999999" x14ac:dyDescent="0.3">
      <c r="B91" s="18">
        <v>12</v>
      </c>
    </row>
    <row r="92" spans="1:5" x14ac:dyDescent="0.3">
      <c r="B92" s="17">
        <v>14</v>
      </c>
    </row>
    <row r="93" spans="1:5" x14ac:dyDescent="0.3">
      <c r="B93" s="17">
        <v>15</v>
      </c>
    </row>
    <row r="94" spans="1:5" x14ac:dyDescent="0.3">
      <c r="B94" s="17">
        <v>17</v>
      </c>
    </row>
    <row r="95" spans="1:5" x14ac:dyDescent="0.3">
      <c r="B95" s="17">
        <v>18</v>
      </c>
    </row>
    <row r="96" spans="1:5" x14ac:dyDescent="0.3">
      <c r="B96" s="17">
        <v>20</v>
      </c>
    </row>
    <row r="97" spans="1:4" x14ac:dyDescent="0.3">
      <c r="B97" s="17">
        <v>22</v>
      </c>
    </row>
    <row r="98" spans="1:4" x14ac:dyDescent="0.3">
      <c r="B98" s="17">
        <v>24</v>
      </c>
    </row>
    <row r="99" spans="1:4" x14ac:dyDescent="0.3">
      <c r="B99" s="17">
        <v>25</v>
      </c>
    </row>
    <row r="100" spans="1:4" x14ac:dyDescent="0.3">
      <c r="B100" s="17">
        <v>55</v>
      </c>
    </row>
    <row r="102" spans="1:4" x14ac:dyDescent="0.3">
      <c r="B102" s="8">
        <v>1</v>
      </c>
      <c r="C102" s="8" t="s">
        <v>27</v>
      </c>
      <c r="D102" s="8">
        <f>_xlfn.QUARTILE.INC(B91:B100,1)</f>
        <v>15.5</v>
      </c>
    </row>
    <row r="103" spans="1:4" x14ac:dyDescent="0.3">
      <c r="B103" s="8">
        <v>2</v>
      </c>
      <c r="C103" s="8" t="s">
        <v>28</v>
      </c>
      <c r="D103" s="8">
        <f>_xlfn.QUARTILE.INC(B91:B100,3)</f>
        <v>23.5</v>
      </c>
    </row>
    <row r="104" spans="1:4" x14ac:dyDescent="0.3">
      <c r="B104" s="8">
        <v>3</v>
      </c>
      <c r="C104" s="8" t="s">
        <v>20</v>
      </c>
      <c r="D104" s="8">
        <f>D103-D102</f>
        <v>8</v>
      </c>
    </row>
    <row r="105" spans="1:4" x14ac:dyDescent="0.3">
      <c r="B105" s="8">
        <v>4</v>
      </c>
      <c r="C105" s="8" t="s">
        <v>47</v>
      </c>
      <c r="D105" s="8">
        <f>D102-(1.5*D104)</f>
        <v>3.5</v>
      </c>
    </row>
    <row r="106" spans="1:4" x14ac:dyDescent="0.3">
      <c r="B106" s="8">
        <v>5</v>
      </c>
      <c r="C106" s="8" t="s">
        <v>48</v>
      </c>
      <c r="D106" s="8">
        <f>D103+(1.5*D104)</f>
        <v>35.5</v>
      </c>
    </row>
    <row r="107" spans="1:4" x14ac:dyDescent="0.3">
      <c r="B107" s="8">
        <v>6</v>
      </c>
      <c r="C107" s="8" t="s">
        <v>49</v>
      </c>
      <c r="D107" s="8">
        <v>55</v>
      </c>
    </row>
    <row r="108" spans="1:4" x14ac:dyDescent="0.3">
      <c r="B108" s="8">
        <v>7</v>
      </c>
      <c r="C108" s="8" t="s">
        <v>50</v>
      </c>
      <c r="D108" s="12" t="s">
        <v>51</v>
      </c>
    </row>
    <row r="110" spans="1:4" ht="17.399999999999999" x14ac:dyDescent="0.35">
      <c r="A110" s="8">
        <v>8</v>
      </c>
      <c r="B110" s="9" t="s">
        <v>52</v>
      </c>
    </row>
    <row r="112" spans="1:4" x14ac:dyDescent="0.3">
      <c r="B112" s="8" t="s">
        <v>10</v>
      </c>
      <c r="C112" s="8" t="s">
        <v>4</v>
      </c>
    </row>
    <row r="113" spans="1:5" x14ac:dyDescent="0.3">
      <c r="B113" s="8" t="s">
        <v>11</v>
      </c>
      <c r="C113" s="8" t="s">
        <v>12</v>
      </c>
    </row>
    <row r="114" spans="1:5" x14ac:dyDescent="0.3">
      <c r="B114" s="8" t="s">
        <v>40</v>
      </c>
      <c r="C114" s="8" t="s">
        <v>20</v>
      </c>
    </row>
    <row r="115" spans="1:5" x14ac:dyDescent="0.3">
      <c r="B115" s="8" t="s">
        <v>53</v>
      </c>
      <c r="C115" s="8" t="s">
        <v>54</v>
      </c>
    </row>
    <row r="116" spans="1:5" x14ac:dyDescent="0.3">
      <c r="B116" s="8" t="s">
        <v>55</v>
      </c>
      <c r="C116" s="8" t="s">
        <v>9</v>
      </c>
    </row>
    <row r="117" spans="1:5" x14ac:dyDescent="0.3">
      <c r="B117" s="8" t="s">
        <v>56</v>
      </c>
      <c r="C117" s="8" t="s">
        <v>3</v>
      </c>
    </row>
    <row r="119" spans="1:5" ht="17.399999999999999" x14ac:dyDescent="0.3">
      <c r="A119" s="8">
        <v>9</v>
      </c>
      <c r="B119" s="11" t="s">
        <v>57</v>
      </c>
    </row>
    <row r="121" spans="1:5" x14ac:dyDescent="0.3">
      <c r="B121" s="8">
        <v>1</v>
      </c>
      <c r="C121" s="8" t="s">
        <v>58</v>
      </c>
    </row>
    <row r="122" spans="1:5" x14ac:dyDescent="0.3">
      <c r="B122" s="8">
        <v>2</v>
      </c>
      <c r="C122" s="12" t="s">
        <v>59</v>
      </c>
    </row>
    <row r="123" spans="1:5" x14ac:dyDescent="0.3">
      <c r="B123" s="8">
        <v>3</v>
      </c>
      <c r="C123" s="12" t="s">
        <v>60</v>
      </c>
    </row>
    <row r="125" spans="1:5" ht="17.399999999999999" x14ac:dyDescent="0.35">
      <c r="A125" s="8">
        <v>10</v>
      </c>
      <c r="B125" s="9" t="s">
        <v>61</v>
      </c>
    </row>
    <row r="126" spans="1:5" ht="15" thickBot="1" x14ac:dyDescent="0.35"/>
    <row r="127" spans="1:5" ht="18" thickBot="1" x14ac:dyDescent="0.35">
      <c r="B127" s="1" t="s">
        <v>62</v>
      </c>
      <c r="C127" s="1" t="s">
        <v>3</v>
      </c>
      <c r="D127" s="1" t="s">
        <v>4</v>
      </c>
      <c r="E127" s="1" t="s">
        <v>9</v>
      </c>
    </row>
    <row r="128" spans="1:5" ht="18" thickBot="1" x14ac:dyDescent="0.35">
      <c r="B128" s="2" t="s">
        <v>10</v>
      </c>
      <c r="C128" s="2">
        <v>35</v>
      </c>
      <c r="D128" s="2">
        <v>30</v>
      </c>
      <c r="E128" s="2">
        <v>7</v>
      </c>
    </row>
    <row r="129" spans="2:5" ht="18" thickBot="1" x14ac:dyDescent="0.35">
      <c r="B129" s="2" t="s">
        <v>11</v>
      </c>
      <c r="C129" s="2">
        <v>60</v>
      </c>
      <c r="D129" s="2">
        <v>59</v>
      </c>
      <c r="E129" s="2">
        <v>9</v>
      </c>
    </row>
    <row r="131" spans="2:5" x14ac:dyDescent="0.3">
      <c r="C131" s="8" t="s">
        <v>10</v>
      </c>
      <c r="D131" s="8" t="s">
        <v>11</v>
      </c>
    </row>
    <row r="132" spans="2:5" x14ac:dyDescent="0.3">
      <c r="B132" s="8">
        <v>1</v>
      </c>
      <c r="C132" s="8">
        <f>E128/C128*100</f>
        <v>20</v>
      </c>
      <c r="D132" s="8">
        <f>E129/C129*100</f>
        <v>15</v>
      </c>
    </row>
    <row r="133" spans="2:5" x14ac:dyDescent="0.3">
      <c r="B133" s="8">
        <v>2</v>
      </c>
      <c r="C133" s="8" t="s">
        <v>63</v>
      </c>
    </row>
    <row r="134" spans="2:5" x14ac:dyDescent="0.3">
      <c r="B134" s="8">
        <v>3</v>
      </c>
      <c r="C134" s="8" t="s">
        <v>64</v>
      </c>
    </row>
    <row r="135" spans="2:5" x14ac:dyDescent="0.3">
      <c r="B135" s="8">
        <v>4</v>
      </c>
      <c r="C135" s="8" t="s">
        <v>63</v>
      </c>
    </row>
    <row r="136" spans="2:5" x14ac:dyDescent="0.3">
      <c r="B136" s="8">
        <v>5</v>
      </c>
      <c r="C136" s="8" t="s">
        <v>64</v>
      </c>
    </row>
    <row r="137" spans="2:5" x14ac:dyDescent="0.3">
      <c r="B137" s="8">
        <v>6</v>
      </c>
      <c r="C137" s="8" t="s">
        <v>63</v>
      </c>
    </row>
    <row r="138" spans="2:5" x14ac:dyDescent="0.3">
      <c r="B138" s="8">
        <v>7</v>
      </c>
      <c r="C138" s="1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Jemin Ramani</dc:creator>
  <cp:lastModifiedBy>Jemin Ramani</cp:lastModifiedBy>
  <dcterms:created xsi:type="dcterms:W3CDTF">2026-08-18T12:21:52Z</dcterms:created>
  <dcterms:modified xsi:type="dcterms:W3CDTF">2026-08-18T14:10:16Z</dcterms:modified>
</cp:coreProperties>
</file>