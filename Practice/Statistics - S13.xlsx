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jemin\Downloads\"/>
    </mc:Choice>
  </mc:AlternateContent>
  <xr:revisionPtr revIDLastSave="0" documentId="13_ncr:1_{DD73313C-BD05-4049-B497-9D55DD5D2088}" xr6:coauthVersionLast="47" xr6:coauthVersionMax="47" xr10:uidLastSave="{00000000-0000-0000-0000-000000000000}"/>
  <bookViews>
    <workbookView xWindow="-108" yWindow="-108" windowWidth="23256" windowHeight="12456" xr2:uid="{A4CE71CD-790C-4C06-9386-42AC93EAD6EC}"/>
  </bookViews>
  <sheets>
    <sheet name="S13"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9" i="1" l="1"/>
  <c r="G49" i="1" s="1"/>
  <c r="E49" i="1"/>
  <c r="D49" i="1"/>
  <c r="C48" i="1"/>
  <c r="H35" i="1"/>
  <c r="G35" i="1"/>
  <c r="E35" i="1"/>
  <c r="F35" i="1" s="1"/>
  <c r="D35" i="1"/>
  <c r="C35" i="1"/>
  <c r="C22" i="1"/>
  <c r="F15" i="1"/>
  <c r="E15" i="1"/>
  <c r="D4" i="1"/>
  <c r="C4" i="1"/>
</calcChain>
</file>

<file path=xl/sharedStrings.xml><?xml version="1.0" encoding="utf-8"?>
<sst xmlns="http://schemas.openxmlformats.org/spreadsheetml/2006/main" count="49" uniqueCount="42">
  <si>
    <t>Mean vs Median</t>
  </si>
  <si>
    <t>Delivery Time</t>
  </si>
  <si>
    <t>Mean</t>
  </si>
  <si>
    <t>Median</t>
  </si>
  <si>
    <t>Median represent better typical delivery time because of data has outlier so it can affect on mean and so mean is bigger than median which is not represent good delivery ime</t>
  </si>
  <si>
    <t>Dispersion Comparison</t>
  </si>
  <si>
    <t>Team A</t>
  </si>
  <si>
    <t>Team B</t>
  </si>
  <si>
    <t>Range</t>
  </si>
  <si>
    <t>Team B has greater spread but Team A is more consistent</t>
  </si>
  <si>
    <t xml:space="preserve">Percentile </t>
  </si>
  <si>
    <t>Test Score</t>
  </si>
  <si>
    <t>Percentile</t>
  </si>
  <si>
    <t>75 is middle score compared with the other students</t>
  </si>
  <si>
    <t>Quartiles + Percentiles</t>
  </si>
  <si>
    <t>customer spending</t>
  </si>
  <si>
    <t>Q1</t>
  </si>
  <si>
    <t>Q2</t>
  </si>
  <si>
    <t>Q3</t>
  </si>
  <si>
    <t>IQR</t>
  </si>
  <si>
    <t>25th Percentile</t>
  </si>
  <si>
    <t>75th percentile</t>
  </si>
  <si>
    <t>Q1 means 25% of data</t>
  </si>
  <si>
    <t>Q3 means 75% of data</t>
  </si>
  <si>
    <t>Outlier + Percentile Scenario</t>
  </si>
  <si>
    <t>delivery times</t>
  </si>
  <si>
    <t xml:space="preserve">yes, 50 is outlier </t>
  </si>
  <si>
    <t>IQR method</t>
  </si>
  <si>
    <t>Median represent better typical delivery time</t>
  </si>
  <si>
    <t>because of in mean total divide by count so outlier is also include in total so used to outlier mean become bigger</t>
  </si>
  <si>
    <t>Frequency Distribution + Percentile Interpretation</t>
  </si>
  <si>
    <t>Marks</t>
  </si>
  <si>
    <t>Students</t>
  </si>
  <si>
    <t>0–19</t>
  </si>
  <si>
    <t>20–39</t>
  </si>
  <si>
    <t>40–59</t>
  </si>
  <si>
    <t>60–79</t>
  </si>
  <si>
    <t>80–100</t>
  </si>
  <si>
    <t>60-79 range has highest frequency</t>
  </si>
  <si>
    <t>15 students scored 60 or above</t>
  </si>
  <si>
    <t>total 30 students</t>
  </si>
  <si>
    <t>60-79 range contains the largest concentration if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</si>
</sst>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4">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1">
    <xf numFmtId="0" fontId="0" fillId="0" borderId="0"/>
  </cellStyleXfs>
  <cellXfs count="13">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 fillId="0" borderId="3" xfId="0" applyFont="1" applyBorder="1" applyAlignment="1">
      <alignment horizontal="center" vertical="center"/>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2" fillId="0" borderId="0" xfId="0" applyFont="1" applyAlignment="1">
      <alignment horizontal="left" vertical="center"/>
    </xf>
    <xf numFmtId="0" fontId="2" fillId="0" borderId="2" xfId="0" applyFont="1" applyBorder="1" applyAlignment="1">
      <alignment horizontal="center" vertical="center"/>
    </xf>
    <xf numFmtId="0" fontId="2" fillId="0" borderId="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CDF4-3698-44BB-BBD5-64008B7F55FB}">
  <dimension ref="A2:H65"/>
  <sheetViews>
    <sheetView tabSelected="1" topLeftCell="A60" zoomScale="205" zoomScaleNormal="205" workbookViewId="0">
      <selection activeCell="D68" sqref="D68"/>
    </sheetView>
  </sheetViews>
  <sheetFormatPr defaultRowHeight="15.6" x14ac:dyDescent="0.3"/>
  <cols>
    <col min="1" max="1" width="8.88671875" style="5"/>
    <col min="2" max="2" width="22.33203125" style="5" bestFit="1" customWidth="1"/>
    <col min="3" max="3" width="10.33203125" style="5" bestFit="1" customWidth="1"/>
    <col min="4" max="6" width="8.88671875" style="5"/>
    <col min="7" max="7" width="15.109375" style="5" bestFit="1" customWidth="1"/>
    <col min="8" max="8" width="15.21875" style="5" bestFit="1" customWidth="1"/>
    <col min="9" max="16384" width="8.88671875" style="5"/>
  </cols>
  <sheetData>
    <row r="2" spans="1:6" ht="16.2" thickBot="1" x14ac:dyDescent="0.35">
      <c r="A2" s="5">
        <v>2</v>
      </c>
      <c r="B2" s="4" t="s">
        <v>0</v>
      </c>
    </row>
    <row r="3" spans="1:6" ht="16.2" thickBot="1" x14ac:dyDescent="0.35">
      <c r="B3" s="7" t="s">
        <v>1</v>
      </c>
      <c r="C3" s="9" t="s">
        <v>2</v>
      </c>
      <c r="D3" s="9" t="s">
        <v>3</v>
      </c>
    </row>
    <row r="4" spans="1:6" ht="16.2" thickBot="1" x14ac:dyDescent="0.35">
      <c r="B4" s="8">
        <v>18</v>
      </c>
      <c r="C4" s="9">
        <f>AVERAGE(B4:B10)</f>
        <v>30</v>
      </c>
      <c r="D4" s="9">
        <f>MEDIAN(B4:B10)</f>
        <v>22</v>
      </c>
    </row>
    <row r="5" spans="1:6" ht="16.2" thickBot="1" x14ac:dyDescent="0.35">
      <c r="B5" s="2">
        <v>20</v>
      </c>
    </row>
    <row r="6" spans="1:6" ht="16.2" thickBot="1" x14ac:dyDescent="0.35">
      <c r="B6" s="2">
        <v>21</v>
      </c>
      <c r="D6" s="6" t="s">
        <v>4</v>
      </c>
    </row>
    <row r="7" spans="1:6" ht="16.2" thickBot="1" x14ac:dyDescent="0.35">
      <c r="B7" s="2">
        <v>22</v>
      </c>
    </row>
    <row r="8" spans="1:6" ht="16.2" thickBot="1" x14ac:dyDescent="0.35">
      <c r="B8" s="2">
        <v>24</v>
      </c>
    </row>
    <row r="9" spans="1:6" ht="16.2" thickBot="1" x14ac:dyDescent="0.35">
      <c r="B9" s="2">
        <v>25</v>
      </c>
    </row>
    <row r="10" spans="1:6" ht="16.2" thickBot="1" x14ac:dyDescent="0.35">
      <c r="B10" s="2">
        <v>80</v>
      </c>
    </row>
    <row r="12" spans="1:6" x14ac:dyDescent="0.3">
      <c r="A12" s="5">
        <v>3</v>
      </c>
      <c r="B12" s="10" t="s">
        <v>5</v>
      </c>
    </row>
    <row r="13" spans="1:6" x14ac:dyDescent="0.3">
      <c r="B13" s="11" t="s">
        <v>6</v>
      </c>
      <c r="C13" s="11" t="s">
        <v>7</v>
      </c>
      <c r="E13" s="12" t="s">
        <v>8</v>
      </c>
      <c r="F13" s="12"/>
    </row>
    <row r="14" spans="1:6" x14ac:dyDescent="0.3">
      <c r="B14" s="9">
        <v>20</v>
      </c>
      <c r="C14" s="9">
        <v>15</v>
      </c>
      <c r="E14" s="11" t="s">
        <v>6</v>
      </c>
      <c r="F14" s="11" t="s">
        <v>7</v>
      </c>
    </row>
    <row r="15" spans="1:6" x14ac:dyDescent="0.3">
      <c r="B15" s="9">
        <v>21</v>
      </c>
      <c r="C15" s="9">
        <v>18</v>
      </c>
      <c r="E15" s="9">
        <f>MAX(B14:B18)-MIN(B14:B18)</f>
        <v>4</v>
      </c>
      <c r="F15" s="9">
        <f>MAX(C14:C18)-MIN(C14:C18)</f>
        <v>14</v>
      </c>
    </row>
    <row r="16" spans="1:6" x14ac:dyDescent="0.3">
      <c r="B16" s="9">
        <v>22</v>
      </c>
      <c r="C16" s="9">
        <v>22</v>
      </c>
    </row>
    <row r="17" spans="1:5" x14ac:dyDescent="0.3">
      <c r="B17" s="9">
        <v>23</v>
      </c>
      <c r="C17" s="9">
        <v>26</v>
      </c>
      <c r="E17" s="6" t="s">
        <v>9</v>
      </c>
    </row>
    <row r="18" spans="1:5" x14ac:dyDescent="0.3">
      <c r="B18" s="9">
        <v>24</v>
      </c>
      <c r="C18" s="9">
        <v>29</v>
      </c>
    </row>
    <row r="20" spans="1:5" x14ac:dyDescent="0.3">
      <c r="A20" s="5">
        <v>4</v>
      </c>
      <c r="B20" s="4" t="s">
        <v>10</v>
      </c>
    </row>
    <row r="21" spans="1:5" x14ac:dyDescent="0.3">
      <c r="B21" s="11" t="s">
        <v>11</v>
      </c>
      <c r="C21" s="11" t="s">
        <v>12</v>
      </c>
    </row>
    <row r="22" spans="1:5" x14ac:dyDescent="0.3">
      <c r="B22" s="9">
        <v>40</v>
      </c>
      <c r="C22" s="9">
        <f>_xlfn.PERCENTILE.INC(B22:B31,0.75)</f>
        <v>73.75</v>
      </c>
      <c r="D22" s="4"/>
    </row>
    <row r="23" spans="1:5" x14ac:dyDescent="0.3">
      <c r="B23" s="9">
        <v>45</v>
      </c>
    </row>
    <row r="24" spans="1:5" x14ac:dyDescent="0.3">
      <c r="B24" s="9">
        <v>50</v>
      </c>
    </row>
    <row r="25" spans="1:5" x14ac:dyDescent="0.3">
      <c r="B25" s="9">
        <v>55</v>
      </c>
    </row>
    <row r="26" spans="1:5" x14ac:dyDescent="0.3">
      <c r="B26" s="9">
        <v>60</v>
      </c>
      <c r="D26" s="6" t="s">
        <v>13</v>
      </c>
    </row>
    <row r="27" spans="1:5" x14ac:dyDescent="0.3">
      <c r="B27" s="9">
        <v>65</v>
      </c>
    </row>
    <row r="28" spans="1:5" x14ac:dyDescent="0.3">
      <c r="B28" s="9">
        <v>70</v>
      </c>
    </row>
    <row r="29" spans="1:5" x14ac:dyDescent="0.3">
      <c r="B29" s="9">
        <v>75</v>
      </c>
    </row>
    <row r="30" spans="1:5" x14ac:dyDescent="0.3">
      <c r="B30" s="9">
        <v>80</v>
      </c>
    </row>
    <row r="31" spans="1:5" x14ac:dyDescent="0.3">
      <c r="B31" s="9">
        <v>85</v>
      </c>
    </row>
    <row r="33" spans="1:8" x14ac:dyDescent="0.3">
      <c r="A33" s="5">
        <v>6</v>
      </c>
      <c r="B33" s="4" t="s">
        <v>14</v>
      </c>
    </row>
    <row r="34" spans="1:8" x14ac:dyDescent="0.3">
      <c r="B34" s="11" t="s">
        <v>15</v>
      </c>
      <c r="C34" s="9" t="s">
        <v>16</v>
      </c>
      <c r="D34" s="9" t="s">
        <v>17</v>
      </c>
      <c r="E34" s="9" t="s">
        <v>18</v>
      </c>
      <c r="F34" s="9" t="s">
        <v>19</v>
      </c>
      <c r="G34" s="9" t="s">
        <v>20</v>
      </c>
      <c r="H34" s="9" t="s">
        <v>21</v>
      </c>
    </row>
    <row r="35" spans="1:8" x14ac:dyDescent="0.3">
      <c r="B35" s="9">
        <v>100</v>
      </c>
      <c r="C35" s="9">
        <f>_xlfn.QUARTILE.INC($B$35:$B$44,1)</f>
        <v>145</v>
      </c>
      <c r="D35" s="9">
        <f>_xlfn.QUARTILE.INC($B$35:$B$44,2)</f>
        <v>190</v>
      </c>
      <c r="E35" s="9">
        <f>_xlfn.QUARTILE.INC($B$35:$B$44,3)</f>
        <v>235</v>
      </c>
      <c r="F35" s="9">
        <f>E35-C35</f>
        <v>90</v>
      </c>
      <c r="G35" s="9">
        <f>_xlfn.PERCENTILE.INC($B$35:$B$44,0.25)</f>
        <v>145</v>
      </c>
      <c r="H35" s="9">
        <f>_xlfn.PERCENTILE.INC($B$35:$B$44,0.75)</f>
        <v>235</v>
      </c>
    </row>
    <row r="36" spans="1:8" x14ac:dyDescent="0.3">
      <c r="B36" s="9">
        <v>120</v>
      </c>
    </row>
    <row r="37" spans="1:8" x14ac:dyDescent="0.3">
      <c r="B37" s="9">
        <v>140</v>
      </c>
    </row>
    <row r="38" spans="1:8" x14ac:dyDescent="0.3">
      <c r="B38" s="9">
        <v>160</v>
      </c>
      <c r="D38" s="6" t="s">
        <v>22</v>
      </c>
    </row>
    <row r="39" spans="1:8" x14ac:dyDescent="0.3">
      <c r="B39" s="9">
        <v>180</v>
      </c>
      <c r="D39" s="6" t="s">
        <v>23</v>
      </c>
    </row>
    <row r="40" spans="1:8" x14ac:dyDescent="0.3">
      <c r="B40" s="9">
        <v>200</v>
      </c>
    </row>
    <row r="41" spans="1:8" x14ac:dyDescent="0.3">
      <c r="B41" s="9">
        <v>220</v>
      </c>
    </row>
    <row r="42" spans="1:8" x14ac:dyDescent="0.3">
      <c r="B42" s="9">
        <v>240</v>
      </c>
    </row>
    <row r="43" spans="1:8" x14ac:dyDescent="0.3">
      <c r="B43" s="9">
        <v>260</v>
      </c>
    </row>
    <row r="44" spans="1:8" x14ac:dyDescent="0.3">
      <c r="B44" s="9">
        <v>280</v>
      </c>
    </row>
    <row r="46" spans="1:8" x14ac:dyDescent="0.3">
      <c r="B46" s="4" t="s">
        <v>24</v>
      </c>
    </row>
    <row r="47" spans="1:8" x14ac:dyDescent="0.3">
      <c r="A47" s="5">
        <v>7</v>
      </c>
      <c r="B47" s="5" t="s">
        <v>25</v>
      </c>
      <c r="C47" s="5" t="s">
        <v>2</v>
      </c>
    </row>
    <row r="48" spans="1:8" x14ac:dyDescent="0.3">
      <c r="B48" s="5">
        <v>10</v>
      </c>
      <c r="C48" s="5">
        <f>AVERAGE(B48:B56)</f>
        <v>17.555555555555557</v>
      </c>
      <c r="D48" s="5" t="s">
        <v>3</v>
      </c>
      <c r="E48" s="5" t="s">
        <v>16</v>
      </c>
      <c r="F48" s="5" t="s">
        <v>18</v>
      </c>
      <c r="G48" s="5" t="s">
        <v>19</v>
      </c>
    </row>
    <row r="49" spans="1:7" x14ac:dyDescent="0.3">
      <c r="B49" s="5">
        <v>11</v>
      </c>
      <c r="D49" s="5">
        <f>MEDIAN(B48:B56)</f>
        <v>14</v>
      </c>
      <c r="E49" s="5">
        <f>_xlfn.QUARTILE.INC(B48:B56,1)</f>
        <v>12</v>
      </c>
      <c r="F49" s="5">
        <f>_xlfn.QUARTILE.INC(B48:B56,3)</f>
        <v>16</v>
      </c>
      <c r="G49" s="5">
        <f>F49-E49</f>
        <v>4</v>
      </c>
    </row>
    <row r="50" spans="1:7" x14ac:dyDescent="0.3">
      <c r="B50" s="5">
        <v>12</v>
      </c>
    </row>
    <row r="51" spans="1:7" x14ac:dyDescent="0.3">
      <c r="B51" s="5">
        <v>13</v>
      </c>
    </row>
    <row r="52" spans="1:7" x14ac:dyDescent="0.3">
      <c r="B52" s="5">
        <v>14</v>
      </c>
      <c r="D52" s="5">
        <v>1</v>
      </c>
      <c r="E52" s="5" t="s">
        <v>26</v>
      </c>
    </row>
    <row r="53" spans="1:7" x14ac:dyDescent="0.3">
      <c r="B53" s="5">
        <v>15</v>
      </c>
      <c r="D53" s="5">
        <v>2</v>
      </c>
      <c r="E53" s="5" t="s">
        <v>27</v>
      </c>
    </row>
    <row r="54" spans="1:7" x14ac:dyDescent="0.3">
      <c r="B54" s="5">
        <v>16</v>
      </c>
      <c r="D54" s="5">
        <v>3</v>
      </c>
      <c r="E54" s="5" t="s">
        <v>28</v>
      </c>
    </row>
    <row r="55" spans="1:7" x14ac:dyDescent="0.3">
      <c r="B55" s="5">
        <v>17</v>
      </c>
      <c r="D55" s="5">
        <v>4</v>
      </c>
      <c r="E55" s="5" t="s">
        <v>29</v>
      </c>
    </row>
    <row r="56" spans="1:7" x14ac:dyDescent="0.3">
      <c r="B56" s="5">
        <v>50</v>
      </c>
    </row>
    <row r="59" spans="1:7" ht="16.2" thickBot="1" x14ac:dyDescent="0.35">
      <c r="A59" s="5">
        <v>8</v>
      </c>
      <c r="B59" s="10" t="s">
        <v>30</v>
      </c>
    </row>
    <row r="60" spans="1:7" ht="16.2" thickBot="1" x14ac:dyDescent="0.35">
      <c r="B60" s="3" t="s">
        <v>31</v>
      </c>
      <c r="C60" s="1" t="s">
        <v>32</v>
      </c>
    </row>
    <row r="61" spans="1:7" ht="16.2" thickBot="1" x14ac:dyDescent="0.35">
      <c r="B61" s="2" t="s">
        <v>33</v>
      </c>
      <c r="C61" s="2">
        <v>2</v>
      </c>
      <c r="E61" s="5">
        <v>1</v>
      </c>
      <c r="F61" s="6" t="s">
        <v>38</v>
      </c>
    </row>
    <row r="62" spans="1:7" ht="16.2" thickBot="1" x14ac:dyDescent="0.35">
      <c r="B62" s="2" t="s">
        <v>34</v>
      </c>
      <c r="C62" s="2">
        <v>5</v>
      </c>
      <c r="E62" s="5">
        <v>2</v>
      </c>
      <c r="F62" s="6" t="s">
        <v>39</v>
      </c>
    </row>
    <row r="63" spans="1:7" ht="16.2" thickBot="1" x14ac:dyDescent="0.35">
      <c r="B63" s="2" t="s">
        <v>35</v>
      </c>
      <c r="C63" s="2">
        <v>8</v>
      </c>
      <c r="E63" s="5">
        <v>3</v>
      </c>
      <c r="F63" s="6" t="s">
        <v>40</v>
      </c>
    </row>
    <row r="64" spans="1:7" ht="16.2" thickBot="1" x14ac:dyDescent="0.35">
      <c r="B64" s="2" t="s">
        <v>36</v>
      </c>
      <c r="C64" s="2">
        <v>12</v>
      </c>
      <c r="E64" s="5">
        <v>4</v>
      </c>
      <c r="F64" s="6" t="s">
        <v>41</v>
      </c>
    </row>
    <row r="65" spans="2:3" ht="16.2" thickBot="1" x14ac:dyDescent="0.35">
      <c r="B65" s="2" t="s">
        <v>37</v>
      </c>
      <c r="C65" s="2">
        <v>3</v>
      </c>
    </row>
  </sheetData>
  <mergeCells count="1">
    <mergeCell ref="E13:F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Jemin Ramani</dc:creator>
  <cp:lastModifiedBy>Jemin Ramani</cp:lastModifiedBy>
  <dcterms:created xsi:type="dcterms:W3CDTF">2026-08-10T00:58:15Z</dcterms:created>
  <dcterms:modified xsi:type="dcterms:W3CDTF">2026-08-10T01:32:35Z</dcterms:modified>
</cp:coreProperties>
</file>