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BB7AAECC-5109-4FD6-A715-AEA6E64AAF20}" xr6:coauthVersionLast="47" xr6:coauthVersionMax="47" xr10:uidLastSave="{00000000-0000-0000-0000-000000000000}"/>
  <bookViews>
    <workbookView xWindow="-108" yWindow="-108" windowWidth="23256" windowHeight="12456" xr2:uid="{6CA57D4C-8450-426A-B46C-7ED4EF7114A1}"/>
  </bookViews>
  <sheets>
    <sheet name="S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7" i="1" l="1"/>
  <c r="E87" i="1"/>
  <c r="G73" i="1"/>
  <c r="F73" i="1"/>
  <c r="E73" i="1"/>
  <c r="D73" i="1"/>
  <c r="C73" i="1"/>
  <c r="G52" i="1"/>
  <c r="F52" i="1"/>
  <c r="E52" i="1"/>
  <c r="D52" i="1"/>
  <c r="C52" i="1"/>
  <c r="G30" i="1"/>
  <c r="F30" i="1"/>
  <c r="E30" i="1"/>
  <c r="D30" i="1"/>
  <c r="C30" i="1"/>
  <c r="E17" i="1"/>
  <c r="D17" i="1"/>
  <c r="C17" i="1"/>
  <c r="D6" i="1"/>
  <c r="C6" i="1"/>
  <c r="F17" i="1" l="1"/>
</calcChain>
</file>

<file path=xl/sharedStrings.xml><?xml version="1.0" encoding="utf-8"?>
<sst xmlns="http://schemas.openxmlformats.org/spreadsheetml/2006/main" count="70" uniqueCount="47">
  <si>
    <t>Mean vs Median — Business Interpretation</t>
  </si>
  <si>
    <t>customer spending amounts</t>
  </si>
  <si>
    <t>Mean</t>
  </si>
  <si>
    <t>Median</t>
  </si>
  <si>
    <t xml:space="preserve">median represents better customer speding because of data has outlier so it can affect on mean </t>
  </si>
  <si>
    <t>Quartile Calculation</t>
  </si>
  <si>
    <t>delivery times in minutes</t>
  </si>
  <si>
    <t>Q1</t>
  </si>
  <si>
    <t>Q2</t>
  </si>
  <si>
    <t>Q3</t>
  </si>
  <si>
    <t>IQR</t>
  </si>
  <si>
    <t xml:space="preserve">Five Number Summary </t>
  </si>
  <si>
    <t>Minimum</t>
  </si>
  <si>
    <t>Maximum</t>
  </si>
  <si>
    <t>Interpret a Five Number Summary</t>
  </si>
  <si>
    <t>Statistic</t>
  </si>
  <si>
    <t>Value</t>
  </si>
  <si>
    <t>Que.</t>
  </si>
  <si>
    <t>median salary is 32000</t>
  </si>
  <si>
    <t>75% of employees earn 45000 or less</t>
  </si>
  <si>
    <t>IQR is 20000</t>
  </si>
  <si>
    <t>Range</t>
  </si>
  <si>
    <t>Build a Box Plot</t>
  </si>
  <si>
    <t>Dataset</t>
  </si>
  <si>
    <t>Box Plot Interpretation</t>
  </si>
  <si>
    <t>IQR Is 25</t>
  </si>
  <si>
    <t>50% of ibservations lie between Q1 and Q3</t>
  </si>
  <si>
    <t>Median is closer to Q1</t>
  </si>
  <si>
    <t xml:space="preserve">it is show middle 50% of data </t>
  </si>
  <si>
    <t>Outlier Detection + Box Plot</t>
  </si>
  <si>
    <t>Lower fence</t>
  </si>
  <si>
    <t>Upper fence</t>
  </si>
  <si>
    <t>Yes 70 is an outlier because of it is greater than upper fence</t>
  </si>
  <si>
    <t>Compare Two Datasets</t>
  </si>
  <si>
    <t>Team A</t>
  </si>
  <si>
    <t>Team B</t>
  </si>
  <si>
    <t>Team B has greater range</t>
  </si>
  <si>
    <t>Team B appears more spread out</t>
  </si>
  <si>
    <t>Team A is appears more consistent</t>
  </si>
  <si>
    <t>Real Data Analyst Scenario</t>
  </si>
  <si>
    <t>B. Box plot</t>
  </si>
  <si>
    <t>Mixed Business Case</t>
  </si>
  <si>
    <t>order values</t>
  </si>
  <si>
    <t>yes</t>
  </si>
  <si>
    <t>IQR method</t>
  </si>
  <si>
    <t>Box plot</t>
  </si>
  <si>
    <t>for easy way t understand the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</si>
</sst>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6" fontId="0" fillId="0" borderId="0" xfId="0" applyNumberFormat="1"/>
    <xf numFmtId="0" fontId="3" fillId="0" borderId="0" xfId="0" applyFont="1" applyAlignment="1">
      <alignment vertical="center"/>
    </xf>
    <xf numFmtId="6" fontId="3" fillId="0" borderId="0" xfId="0" applyNumberFormat="1" applyFont="1" applyAlignment="1">
      <alignment vertical="center"/>
    </xf>
    <xf numFmtId="0" fontId="2" fillId="0" borderId="1" xfId="0" applyFont="1" applyBorder="1"/>
    <xf numFmtId="6" fontId="3" fillId="0" borderId="1" xfId="0" applyNumberFormat="1" applyFont="1" applyBorder="1" applyAlignment="1">
      <alignment horizontal="center" vertical="center"/>
    </xf>
    <xf numFmtId="6" fontId="0" fillId="0" borderId="1" xfId="0" applyNumberFormat="1" applyFont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6" fontId="3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22CB-657C-483D-A618-A67204A9DAFF}">
  <dimension ref="A1:N111"/>
  <sheetViews>
    <sheetView tabSelected="1" topLeftCell="A96" zoomScale="145" zoomScaleNormal="145" workbookViewId="0">
      <selection activeCell="G105" sqref="G105"/>
    </sheetView>
  </sheetViews>
  <sheetFormatPr defaultRowHeight="14.4" x14ac:dyDescent="0.3"/>
  <cols>
    <col min="1" max="1" width="8.88671875" style="20"/>
    <col min="2" max="2" width="30.44140625" bestFit="1" customWidth="1"/>
    <col min="3" max="3" width="9.33203125" bestFit="1" customWidth="1"/>
    <col min="6" max="7" width="11.44140625" bestFit="1" customWidth="1"/>
  </cols>
  <sheetData>
    <row r="1" spans="1:11" x14ac:dyDescent="0.3">
      <c r="A1" s="20" t="s">
        <v>17</v>
      </c>
    </row>
    <row r="3" spans="1:11" ht="17.399999999999999" x14ac:dyDescent="0.35">
      <c r="A3" s="20">
        <v>1</v>
      </c>
      <c r="B3" s="1" t="s">
        <v>0</v>
      </c>
    </row>
    <row r="5" spans="1:11" ht="17.399999999999999" x14ac:dyDescent="0.35">
      <c r="B5" s="6" t="s">
        <v>1</v>
      </c>
      <c r="C5" s="12" t="s">
        <v>2</v>
      </c>
      <c r="D5" s="12" t="s">
        <v>3</v>
      </c>
    </row>
    <row r="6" spans="1:11" ht="17.399999999999999" x14ac:dyDescent="0.3">
      <c r="B6" s="7">
        <v>420</v>
      </c>
      <c r="C6" s="9">
        <f>AVERAGE(B6:B12)</f>
        <v>702.85714285714289</v>
      </c>
      <c r="D6" s="9">
        <f>MEDIAN(B6:B12)</f>
        <v>500</v>
      </c>
      <c r="E6" s="2"/>
      <c r="K6" s="3"/>
    </row>
    <row r="7" spans="1:11" x14ac:dyDescent="0.3">
      <c r="B7" s="8">
        <v>450</v>
      </c>
    </row>
    <row r="8" spans="1:11" x14ac:dyDescent="0.3">
      <c r="B8" s="8">
        <v>480</v>
      </c>
    </row>
    <row r="9" spans="1:11" x14ac:dyDescent="0.3">
      <c r="B9" s="8">
        <v>500</v>
      </c>
      <c r="D9" t="s">
        <v>4</v>
      </c>
    </row>
    <row r="10" spans="1:11" x14ac:dyDescent="0.3">
      <c r="B10" s="8">
        <v>520</v>
      </c>
    </row>
    <row r="11" spans="1:11" x14ac:dyDescent="0.3">
      <c r="B11" s="8">
        <v>550</v>
      </c>
    </row>
    <row r="12" spans="1:11" x14ac:dyDescent="0.3">
      <c r="B12" s="8">
        <v>2000</v>
      </c>
    </row>
    <row r="14" spans="1:11" ht="17.399999999999999" x14ac:dyDescent="0.35">
      <c r="A14" s="20">
        <v>2</v>
      </c>
      <c r="B14" s="1" t="s">
        <v>5</v>
      </c>
    </row>
    <row r="16" spans="1:11" ht="17.399999999999999" x14ac:dyDescent="0.35">
      <c r="B16" s="15" t="s">
        <v>6</v>
      </c>
      <c r="C16" s="12" t="s">
        <v>7</v>
      </c>
      <c r="D16" s="12" t="s">
        <v>8</v>
      </c>
      <c r="E16" s="12" t="s">
        <v>9</v>
      </c>
      <c r="F16" s="12" t="s">
        <v>10</v>
      </c>
    </row>
    <row r="17" spans="1:7" ht="17.399999999999999" x14ac:dyDescent="0.3">
      <c r="B17" s="16">
        <v>12</v>
      </c>
      <c r="C17" s="14">
        <f>_xlfn.QUARTILE.INC($B$17:$B$25,1)</f>
        <v>18</v>
      </c>
      <c r="D17" s="14">
        <f>_xlfn.QUARTILE.INC($B$17:$B$25,2)</f>
        <v>22</v>
      </c>
      <c r="E17" s="14">
        <f>_xlfn.QUARTILE.INC($B$17:$B$25,3)</f>
        <v>26</v>
      </c>
      <c r="F17" s="14">
        <f>E17-C17</f>
        <v>8</v>
      </c>
    </row>
    <row r="18" spans="1:7" ht="17.399999999999999" x14ac:dyDescent="0.3">
      <c r="B18" s="14">
        <v>15</v>
      </c>
      <c r="C18" s="10"/>
      <c r="D18" s="11"/>
      <c r="E18" s="10"/>
      <c r="F18" s="10"/>
    </row>
    <row r="19" spans="1:7" x14ac:dyDescent="0.3">
      <c r="B19" s="14">
        <v>18</v>
      </c>
      <c r="C19" s="10"/>
      <c r="D19" s="10"/>
      <c r="E19" s="10"/>
      <c r="F19" s="10"/>
    </row>
    <row r="20" spans="1:7" x14ac:dyDescent="0.3">
      <c r="B20" s="14">
        <v>20</v>
      </c>
      <c r="C20" s="10"/>
      <c r="D20" s="10"/>
      <c r="E20" s="10"/>
      <c r="F20" s="10"/>
    </row>
    <row r="21" spans="1:7" x14ac:dyDescent="0.3">
      <c r="B21" s="14">
        <v>22</v>
      </c>
      <c r="C21" s="10"/>
      <c r="D21" s="10"/>
      <c r="E21" s="10"/>
      <c r="F21" s="10"/>
    </row>
    <row r="22" spans="1:7" x14ac:dyDescent="0.3">
      <c r="B22" s="14">
        <v>24</v>
      </c>
      <c r="C22" s="10"/>
      <c r="D22" s="10"/>
      <c r="E22" s="10"/>
      <c r="F22" s="10"/>
    </row>
    <row r="23" spans="1:7" x14ac:dyDescent="0.3">
      <c r="B23" s="14">
        <v>26</v>
      </c>
      <c r="C23" s="10"/>
      <c r="D23" s="10"/>
      <c r="E23" s="10"/>
      <c r="F23" s="10"/>
    </row>
    <row r="24" spans="1:7" x14ac:dyDescent="0.3">
      <c r="B24" s="14">
        <v>28</v>
      </c>
      <c r="C24" s="10"/>
      <c r="D24" s="10"/>
      <c r="E24" s="10"/>
      <c r="F24" s="10"/>
    </row>
    <row r="25" spans="1:7" x14ac:dyDescent="0.3">
      <c r="B25" s="14">
        <v>30</v>
      </c>
      <c r="C25" s="10"/>
      <c r="D25" s="10"/>
      <c r="E25" s="10"/>
      <c r="F25" s="10"/>
    </row>
    <row r="27" spans="1:7" ht="17.399999999999999" x14ac:dyDescent="0.35">
      <c r="A27" s="20">
        <v>3</v>
      </c>
      <c r="B27" s="1" t="s">
        <v>11</v>
      </c>
    </row>
    <row r="29" spans="1:7" ht="17.399999999999999" x14ac:dyDescent="0.35">
      <c r="B29" s="15" t="s">
        <v>6</v>
      </c>
      <c r="C29" s="12" t="s">
        <v>12</v>
      </c>
      <c r="D29" s="12" t="s">
        <v>7</v>
      </c>
      <c r="E29" s="12" t="s">
        <v>3</v>
      </c>
      <c r="F29" s="12" t="s">
        <v>9</v>
      </c>
      <c r="G29" s="12" t="s">
        <v>13</v>
      </c>
    </row>
    <row r="30" spans="1:7" ht="17.399999999999999" x14ac:dyDescent="0.3">
      <c r="B30" s="16">
        <v>12</v>
      </c>
      <c r="C30" s="14">
        <f>MIN(B30:B38)</f>
        <v>12</v>
      </c>
      <c r="D30" s="14">
        <f>_xlfn.QUARTILE.INC($B$30:$B$38,1)</f>
        <v>18</v>
      </c>
      <c r="E30" s="14">
        <f>_xlfn.QUARTILE.INC($B$30:$B$38,2)</f>
        <v>22</v>
      </c>
      <c r="F30" s="14">
        <f>_xlfn.QUARTILE.INC($B$30:$B$38,3)</f>
        <v>26</v>
      </c>
      <c r="G30" s="14">
        <f>MAX(B30:B38)</f>
        <v>30</v>
      </c>
    </row>
    <row r="31" spans="1:7" x14ac:dyDescent="0.3">
      <c r="B31" s="14">
        <v>15</v>
      </c>
    </row>
    <row r="32" spans="1:7" x14ac:dyDescent="0.3">
      <c r="B32" s="14">
        <v>18</v>
      </c>
    </row>
    <row r="33" spans="1:6" x14ac:dyDescent="0.3">
      <c r="B33" s="14">
        <v>20</v>
      </c>
    </row>
    <row r="34" spans="1:6" x14ac:dyDescent="0.3">
      <c r="B34" s="14">
        <v>22</v>
      </c>
    </row>
    <row r="35" spans="1:6" x14ac:dyDescent="0.3">
      <c r="B35" s="14">
        <v>24</v>
      </c>
    </row>
    <row r="36" spans="1:6" x14ac:dyDescent="0.3">
      <c r="B36" s="14">
        <v>26</v>
      </c>
    </row>
    <row r="37" spans="1:6" x14ac:dyDescent="0.3">
      <c r="B37" s="14">
        <v>28</v>
      </c>
    </row>
    <row r="38" spans="1:6" x14ac:dyDescent="0.3">
      <c r="B38" s="14">
        <v>30</v>
      </c>
    </row>
    <row r="40" spans="1:6" ht="17.399999999999999" x14ac:dyDescent="0.35">
      <c r="A40" s="20">
        <v>4</v>
      </c>
      <c r="B40" s="1" t="s">
        <v>14</v>
      </c>
    </row>
    <row r="41" spans="1:6" ht="15" thickBot="1" x14ac:dyDescent="0.35"/>
    <row r="42" spans="1:6" ht="18" thickBot="1" x14ac:dyDescent="0.35">
      <c r="B42" s="17" t="s">
        <v>15</v>
      </c>
      <c r="C42" s="17" t="s">
        <v>16</v>
      </c>
      <c r="E42">
        <v>1</v>
      </c>
      <c r="F42" t="s">
        <v>18</v>
      </c>
    </row>
    <row r="43" spans="1:6" ht="18" thickBot="1" x14ac:dyDescent="0.35">
      <c r="B43" s="18" t="s">
        <v>12</v>
      </c>
      <c r="C43" s="19">
        <v>18000</v>
      </c>
      <c r="E43">
        <v>2</v>
      </c>
      <c r="F43" t="s">
        <v>19</v>
      </c>
    </row>
    <row r="44" spans="1:6" ht="18" thickBot="1" x14ac:dyDescent="0.35">
      <c r="B44" s="18" t="s">
        <v>7</v>
      </c>
      <c r="C44" s="19">
        <v>25000</v>
      </c>
      <c r="E44">
        <v>3</v>
      </c>
      <c r="F44" t="s">
        <v>20</v>
      </c>
    </row>
    <row r="45" spans="1:6" ht="18" thickBot="1" x14ac:dyDescent="0.35">
      <c r="B45" s="18" t="s">
        <v>3</v>
      </c>
      <c r="C45" s="19">
        <v>32000</v>
      </c>
      <c r="E45">
        <v>4</v>
      </c>
      <c r="F45" t="s">
        <v>21</v>
      </c>
    </row>
    <row r="46" spans="1:6" ht="18" thickBot="1" x14ac:dyDescent="0.35">
      <c r="B46" s="18" t="s">
        <v>9</v>
      </c>
      <c r="C46" s="19">
        <v>45000</v>
      </c>
    </row>
    <row r="47" spans="1:6" ht="18" thickBot="1" x14ac:dyDescent="0.35">
      <c r="B47" s="18" t="s">
        <v>13</v>
      </c>
      <c r="C47" s="19">
        <v>90000</v>
      </c>
    </row>
    <row r="49" spans="1:7" ht="17.399999999999999" x14ac:dyDescent="0.3">
      <c r="A49" s="20">
        <v>5</v>
      </c>
      <c r="B49" s="2" t="s">
        <v>22</v>
      </c>
    </row>
    <row r="51" spans="1:7" ht="17.399999999999999" x14ac:dyDescent="0.35">
      <c r="B51" s="15" t="s">
        <v>23</v>
      </c>
      <c r="C51" s="12" t="s">
        <v>12</v>
      </c>
      <c r="D51" s="12" t="s">
        <v>7</v>
      </c>
      <c r="E51" s="12" t="s">
        <v>3</v>
      </c>
      <c r="F51" s="12" t="s">
        <v>9</v>
      </c>
      <c r="G51" s="12" t="s">
        <v>13</v>
      </c>
    </row>
    <row r="52" spans="1:7" ht="17.399999999999999" x14ac:dyDescent="0.3">
      <c r="B52" s="16">
        <v>10</v>
      </c>
      <c r="C52" s="21">
        <f>MIN(B52:B62)</f>
        <v>10</v>
      </c>
      <c r="D52" s="16">
        <f>_xlfn.QUARTILE.INC($B$52:$B$62,1)</f>
        <v>14.5</v>
      </c>
      <c r="E52" s="16">
        <f>_xlfn.QUARTILE.INC($B$52:$B$62,2)</f>
        <v>18</v>
      </c>
      <c r="F52" s="16">
        <f>_xlfn.QUARTILE.INC($B$52:$B$62,3)</f>
        <v>23</v>
      </c>
      <c r="G52" s="21">
        <f>MAX(B52:B62)</f>
        <v>28</v>
      </c>
    </row>
    <row r="53" spans="1:7" x14ac:dyDescent="0.3">
      <c r="B53" s="21">
        <v>12</v>
      </c>
      <c r="C53" s="22"/>
      <c r="D53" s="22"/>
      <c r="E53" s="22"/>
      <c r="F53" s="22"/>
      <c r="G53" s="22"/>
    </row>
    <row r="54" spans="1:7" x14ac:dyDescent="0.3">
      <c r="B54" s="21">
        <v>14</v>
      </c>
      <c r="C54" s="22"/>
      <c r="D54" s="22"/>
      <c r="E54" s="22"/>
      <c r="F54" s="22"/>
      <c r="G54" s="22"/>
    </row>
    <row r="55" spans="1:7" x14ac:dyDescent="0.3">
      <c r="B55" s="21">
        <v>15</v>
      </c>
      <c r="C55" s="22"/>
      <c r="D55" s="22"/>
      <c r="E55" s="22"/>
      <c r="F55" s="22"/>
      <c r="G55" s="22"/>
    </row>
    <row r="56" spans="1:7" x14ac:dyDescent="0.3">
      <c r="B56" s="21">
        <v>16</v>
      </c>
      <c r="C56" s="22"/>
      <c r="D56" s="22"/>
      <c r="E56" s="22"/>
      <c r="F56" s="22"/>
      <c r="G56" s="22"/>
    </row>
    <row r="57" spans="1:7" x14ac:dyDescent="0.3">
      <c r="B57" s="21">
        <v>18</v>
      </c>
      <c r="C57" s="22"/>
      <c r="D57" s="22"/>
      <c r="E57" s="22"/>
      <c r="F57" s="22"/>
      <c r="G57" s="22"/>
    </row>
    <row r="58" spans="1:7" x14ac:dyDescent="0.3">
      <c r="B58" s="21">
        <v>20</v>
      </c>
      <c r="C58" s="22"/>
      <c r="D58" s="22"/>
      <c r="E58" s="22"/>
      <c r="F58" s="22"/>
      <c r="G58" s="22"/>
    </row>
    <row r="59" spans="1:7" x14ac:dyDescent="0.3">
      <c r="B59" s="21">
        <v>22</v>
      </c>
      <c r="C59" s="22"/>
      <c r="D59" s="22"/>
      <c r="E59" s="22"/>
      <c r="F59" s="22"/>
      <c r="G59" s="22"/>
    </row>
    <row r="60" spans="1:7" x14ac:dyDescent="0.3">
      <c r="B60" s="21">
        <v>24</v>
      </c>
      <c r="C60" s="22"/>
      <c r="D60" s="22"/>
      <c r="E60" s="22"/>
      <c r="F60" s="22"/>
      <c r="G60" s="22"/>
    </row>
    <row r="61" spans="1:7" x14ac:dyDescent="0.3">
      <c r="B61" s="21">
        <v>26</v>
      </c>
      <c r="C61" s="22"/>
      <c r="D61" s="22"/>
      <c r="E61" s="22"/>
      <c r="F61" s="22"/>
      <c r="G61" s="22"/>
    </row>
    <row r="62" spans="1:7" x14ac:dyDescent="0.3">
      <c r="B62" s="21">
        <v>28</v>
      </c>
      <c r="C62" s="22"/>
      <c r="D62" s="22"/>
      <c r="E62" s="22"/>
      <c r="F62" s="22"/>
      <c r="G62" s="22"/>
    </row>
    <row r="64" spans="1:7" ht="17.399999999999999" x14ac:dyDescent="0.35">
      <c r="A64" s="20">
        <v>6</v>
      </c>
      <c r="B64" s="1" t="s">
        <v>24</v>
      </c>
    </row>
    <row r="66" spans="1:7" x14ac:dyDescent="0.3">
      <c r="B66">
        <v>1</v>
      </c>
      <c r="C66" t="s">
        <v>25</v>
      </c>
    </row>
    <row r="67" spans="1:7" x14ac:dyDescent="0.3">
      <c r="B67">
        <v>2</v>
      </c>
      <c r="C67" t="s">
        <v>26</v>
      </c>
    </row>
    <row r="68" spans="1:7" x14ac:dyDescent="0.3">
      <c r="B68">
        <v>3</v>
      </c>
      <c r="C68" t="s">
        <v>27</v>
      </c>
    </row>
    <row r="69" spans="1:7" x14ac:dyDescent="0.3">
      <c r="B69">
        <v>4</v>
      </c>
      <c r="C69" t="s">
        <v>28</v>
      </c>
    </row>
    <row r="71" spans="1:7" ht="17.399999999999999" x14ac:dyDescent="0.3">
      <c r="A71" s="20">
        <v>7</v>
      </c>
      <c r="B71" s="2" t="s">
        <v>29</v>
      </c>
    </row>
    <row r="72" spans="1:7" ht="17.399999999999999" x14ac:dyDescent="0.35">
      <c r="B72" s="15" t="s">
        <v>23</v>
      </c>
      <c r="C72" s="24" t="s">
        <v>7</v>
      </c>
      <c r="D72" s="12" t="s">
        <v>9</v>
      </c>
      <c r="E72" s="12" t="s">
        <v>10</v>
      </c>
      <c r="F72" s="12" t="s">
        <v>30</v>
      </c>
      <c r="G72" s="12" t="s">
        <v>31</v>
      </c>
    </row>
    <row r="73" spans="1:7" ht="17.399999999999999" x14ac:dyDescent="0.3">
      <c r="B73" s="16">
        <v>15</v>
      </c>
      <c r="C73" s="23">
        <f>_xlfn.QUARTILE.INC(B73:B82,1)</f>
        <v>18.25</v>
      </c>
      <c r="D73" s="16">
        <f>_xlfn.QUARTILE.INC(B73:B82,3)</f>
        <v>23.5</v>
      </c>
      <c r="E73" s="21">
        <f>D73-C73</f>
        <v>5.25</v>
      </c>
      <c r="F73" s="21">
        <f>C73-(1.5*E73)</f>
        <v>10.375</v>
      </c>
      <c r="G73" s="14">
        <f>D73+(1.5*E73)</f>
        <v>31.375</v>
      </c>
    </row>
    <row r="74" spans="1:7" x14ac:dyDescent="0.3">
      <c r="B74" s="14">
        <v>16</v>
      </c>
    </row>
    <row r="75" spans="1:7" x14ac:dyDescent="0.3">
      <c r="B75" s="14">
        <v>18</v>
      </c>
    </row>
    <row r="76" spans="1:7" x14ac:dyDescent="0.3">
      <c r="B76" s="14">
        <v>19</v>
      </c>
    </row>
    <row r="77" spans="1:7" x14ac:dyDescent="0.3">
      <c r="B77" s="14">
        <v>20</v>
      </c>
    </row>
    <row r="78" spans="1:7" x14ac:dyDescent="0.3">
      <c r="B78" s="14">
        <v>21</v>
      </c>
      <c r="D78" t="s">
        <v>32</v>
      </c>
    </row>
    <row r="79" spans="1:7" x14ac:dyDescent="0.3">
      <c r="B79" s="14">
        <v>22</v>
      </c>
    </row>
    <row r="80" spans="1:7" x14ac:dyDescent="0.3">
      <c r="B80" s="14">
        <v>24</v>
      </c>
    </row>
    <row r="81" spans="1:6" x14ac:dyDescent="0.3">
      <c r="B81" s="14">
        <v>26</v>
      </c>
    </row>
    <row r="82" spans="1:6" x14ac:dyDescent="0.3">
      <c r="B82" s="14">
        <v>70</v>
      </c>
    </row>
    <row r="84" spans="1:6" ht="17.399999999999999" x14ac:dyDescent="0.35">
      <c r="A84" s="20">
        <v>8</v>
      </c>
      <c r="B84" s="1" t="s">
        <v>33</v>
      </c>
    </row>
    <row r="85" spans="1:6" x14ac:dyDescent="0.3">
      <c r="E85" s="25" t="s">
        <v>21</v>
      </c>
      <c r="F85" s="25"/>
    </row>
    <row r="86" spans="1:6" ht="17.399999999999999" x14ac:dyDescent="0.3">
      <c r="B86" s="13" t="s">
        <v>34</v>
      </c>
      <c r="C86" s="13" t="s">
        <v>35</v>
      </c>
      <c r="E86" s="13" t="s">
        <v>34</v>
      </c>
      <c r="F86" s="13" t="s">
        <v>35</v>
      </c>
    </row>
    <row r="87" spans="1:6" ht="17.399999999999999" x14ac:dyDescent="0.3">
      <c r="B87" s="16">
        <v>18</v>
      </c>
      <c r="C87" s="16">
        <v>10</v>
      </c>
      <c r="E87" s="14">
        <f>MAX(B87:B93)-MIN(B87:B93)</f>
        <v>6</v>
      </c>
      <c r="F87" s="14">
        <f>MAX(C87:C93)-MIN(C87:C93)</f>
        <v>30</v>
      </c>
    </row>
    <row r="88" spans="1:6" x14ac:dyDescent="0.3">
      <c r="B88" s="14">
        <v>19</v>
      </c>
      <c r="C88" s="14">
        <v>15</v>
      </c>
    </row>
    <row r="89" spans="1:6" x14ac:dyDescent="0.3">
      <c r="B89" s="14">
        <v>20</v>
      </c>
      <c r="C89" s="14">
        <v>20</v>
      </c>
      <c r="E89">
        <v>1</v>
      </c>
      <c r="F89" t="s">
        <v>36</v>
      </c>
    </row>
    <row r="90" spans="1:6" ht="17.399999999999999" x14ac:dyDescent="0.3">
      <c r="B90" s="14">
        <v>21</v>
      </c>
      <c r="C90" s="14">
        <v>21</v>
      </c>
      <c r="E90">
        <v>2</v>
      </c>
      <c r="F90" s="4" t="s">
        <v>37</v>
      </c>
    </row>
    <row r="91" spans="1:6" x14ac:dyDescent="0.3">
      <c r="B91" s="14">
        <v>22</v>
      </c>
      <c r="C91" s="14">
        <v>22</v>
      </c>
      <c r="E91">
        <v>3</v>
      </c>
      <c r="F91" t="s">
        <v>35</v>
      </c>
    </row>
    <row r="92" spans="1:6" x14ac:dyDescent="0.3">
      <c r="B92" s="14">
        <v>23</v>
      </c>
      <c r="C92" s="14">
        <v>30</v>
      </c>
      <c r="E92">
        <v>4</v>
      </c>
      <c r="F92" t="s">
        <v>38</v>
      </c>
    </row>
    <row r="93" spans="1:6" x14ac:dyDescent="0.3">
      <c r="B93" s="14">
        <v>24</v>
      </c>
      <c r="C93" s="14">
        <v>40</v>
      </c>
    </row>
    <row r="95" spans="1:6" ht="17.399999999999999" x14ac:dyDescent="0.35">
      <c r="A95" s="20">
        <v>9</v>
      </c>
      <c r="B95" s="1" t="s">
        <v>39</v>
      </c>
    </row>
    <row r="97" spans="1:14" x14ac:dyDescent="0.3">
      <c r="B97">
        <v>1</v>
      </c>
      <c r="C97" t="s">
        <v>40</v>
      </c>
    </row>
    <row r="99" spans="1:14" ht="17.399999999999999" x14ac:dyDescent="0.35">
      <c r="A99" s="20">
        <v>10</v>
      </c>
      <c r="B99" s="1" t="s">
        <v>41</v>
      </c>
    </row>
    <row r="101" spans="1:14" ht="17.399999999999999" x14ac:dyDescent="0.35">
      <c r="B101" s="15" t="s">
        <v>42</v>
      </c>
      <c r="D101">
        <v>1</v>
      </c>
      <c r="E101" t="s">
        <v>3</v>
      </c>
    </row>
    <row r="102" spans="1:14" ht="17.399999999999999" x14ac:dyDescent="0.3">
      <c r="B102" s="7">
        <v>300</v>
      </c>
      <c r="D102">
        <v>2</v>
      </c>
      <c r="E102" s="5" t="s">
        <v>43</v>
      </c>
      <c r="F102" s="3"/>
      <c r="G102" s="3"/>
      <c r="H102" s="3"/>
      <c r="I102" s="3"/>
      <c r="J102" s="3"/>
      <c r="K102" s="3"/>
      <c r="L102" s="3"/>
      <c r="M102" s="3"/>
      <c r="N102" s="3"/>
    </row>
    <row r="103" spans="1:14" x14ac:dyDescent="0.3">
      <c r="B103" s="9">
        <v>320</v>
      </c>
      <c r="D103">
        <v>3</v>
      </c>
      <c r="E103" t="s">
        <v>44</v>
      </c>
    </row>
    <row r="104" spans="1:14" x14ac:dyDescent="0.3">
      <c r="B104" s="9">
        <v>340</v>
      </c>
      <c r="D104">
        <v>4</v>
      </c>
      <c r="E104" t="s">
        <v>45</v>
      </c>
    </row>
    <row r="105" spans="1:14" x14ac:dyDescent="0.3">
      <c r="B105" s="9">
        <v>350</v>
      </c>
      <c r="D105">
        <v>5</v>
      </c>
      <c r="E105" t="s">
        <v>46</v>
      </c>
    </row>
    <row r="106" spans="1:14" x14ac:dyDescent="0.3">
      <c r="B106" s="9">
        <v>360</v>
      </c>
    </row>
    <row r="107" spans="1:14" x14ac:dyDescent="0.3">
      <c r="B107" s="9">
        <v>380</v>
      </c>
    </row>
    <row r="108" spans="1:14" x14ac:dyDescent="0.3">
      <c r="B108" s="9">
        <v>400</v>
      </c>
    </row>
    <row r="109" spans="1:14" x14ac:dyDescent="0.3">
      <c r="B109" s="9">
        <v>420</v>
      </c>
    </row>
    <row r="110" spans="1:14" x14ac:dyDescent="0.3">
      <c r="B110" s="9">
        <v>450</v>
      </c>
    </row>
    <row r="111" spans="1:14" x14ac:dyDescent="0.3">
      <c r="B111" s="9">
        <v>1500</v>
      </c>
    </row>
  </sheetData>
  <mergeCells count="1">
    <mergeCell ref="E85:F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2026-08-11T01:26:58Z</dcterms:created>
  <dcterms:modified xsi:type="dcterms:W3CDTF">2026-08-11T02:24:54Z</dcterms:modified>
</cp:coreProperties>
</file>