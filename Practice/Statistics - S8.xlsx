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411F6C2A-F386-4B85-80B0-EEED62CD71EE}" xr6:coauthVersionLast="47" xr6:coauthVersionMax="47" xr10:uidLastSave="{00000000-0000-0000-0000-000000000000}"/>
  <bookViews>
    <workbookView xWindow="-108" yWindow="-108" windowWidth="23256" windowHeight="12456" xr2:uid="{72E50197-319F-4C1A-A06C-7D6BA86C5514}"/>
  </bookViews>
  <sheets>
    <sheet name="S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1" l="1"/>
  <c r="F55" i="1"/>
  <c r="F52" i="1"/>
  <c r="H49" i="1"/>
  <c r="G49" i="1"/>
  <c r="F49" i="1"/>
  <c r="E37" i="1"/>
  <c r="D37" i="1"/>
  <c r="C37" i="1"/>
  <c r="C29" i="1"/>
  <c r="C20" i="1"/>
  <c r="C12" i="1"/>
  <c r="C4" i="1"/>
</calcChain>
</file>

<file path=xl/sharedStrings.xml><?xml version="1.0" encoding="utf-8"?>
<sst xmlns="http://schemas.openxmlformats.org/spreadsheetml/2006/main" count="26" uniqueCount="18">
  <si>
    <t>Calculate the Mean</t>
  </si>
  <si>
    <t>Value</t>
  </si>
  <si>
    <t>Mean</t>
  </si>
  <si>
    <t>Find the Median</t>
  </si>
  <si>
    <t>Median</t>
  </si>
  <si>
    <t>Find the Mode</t>
  </si>
  <si>
    <t>Mode</t>
  </si>
  <si>
    <t>Calculate the Range and Standard Deviation</t>
  </si>
  <si>
    <t>stdev</t>
  </si>
  <si>
    <t>Find Quartiles</t>
  </si>
  <si>
    <t>Q1</t>
  </si>
  <si>
    <t>Q2</t>
  </si>
  <si>
    <t>Q3</t>
  </si>
  <si>
    <t>Outlier Detection (IQR Method)</t>
  </si>
  <si>
    <t>IQR</t>
  </si>
  <si>
    <t>Lower Fence</t>
  </si>
  <si>
    <t>Upper Fence</t>
  </si>
  <si>
    <t>Yes 60 is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</si>
</sst>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0D57-92F7-4B32-9114-160B41307910}">
  <dimension ref="A2:H57"/>
  <sheetViews>
    <sheetView tabSelected="1" zoomScale="175" zoomScaleNormal="175" workbookViewId="0">
      <selection activeCell="I49" sqref="I49"/>
    </sheetView>
  </sheetViews>
  <sheetFormatPr defaultRowHeight="15.6" x14ac:dyDescent="0.3"/>
  <cols>
    <col min="1" max="5" width="8.88671875" style="1"/>
    <col min="6" max="6" width="12.44140625" style="1" bestFit="1" customWidth="1"/>
    <col min="7" max="7" width="12.6640625" style="1" bestFit="1" customWidth="1"/>
    <col min="8" max="16384" width="8.88671875" style="1"/>
  </cols>
  <sheetData>
    <row r="2" spans="1:3" x14ac:dyDescent="0.3">
      <c r="A2" s="2">
        <v>2</v>
      </c>
      <c r="B2" s="3" t="s">
        <v>0</v>
      </c>
      <c r="C2" s="2"/>
    </row>
    <row r="3" spans="1:3" x14ac:dyDescent="0.3">
      <c r="A3" s="2"/>
      <c r="B3" s="4" t="s">
        <v>1</v>
      </c>
      <c r="C3" s="2" t="s">
        <v>2</v>
      </c>
    </row>
    <row r="4" spans="1:3" x14ac:dyDescent="0.3">
      <c r="A4" s="2"/>
      <c r="B4" s="5">
        <v>18</v>
      </c>
      <c r="C4" s="2">
        <f>AVERAGE(B4:B8)</f>
        <v>26</v>
      </c>
    </row>
    <row r="5" spans="1:3" x14ac:dyDescent="0.3">
      <c r="A5" s="2"/>
      <c r="B5" s="5">
        <v>22</v>
      </c>
      <c r="C5" s="2"/>
    </row>
    <row r="6" spans="1:3" x14ac:dyDescent="0.3">
      <c r="A6" s="2"/>
      <c r="B6" s="5">
        <v>26</v>
      </c>
      <c r="C6" s="2"/>
    </row>
    <row r="7" spans="1:3" x14ac:dyDescent="0.3">
      <c r="A7" s="2"/>
      <c r="B7" s="5">
        <v>30</v>
      </c>
      <c r="C7" s="2"/>
    </row>
    <row r="8" spans="1:3" x14ac:dyDescent="0.3">
      <c r="A8" s="2"/>
      <c r="B8" s="5">
        <v>34</v>
      </c>
      <c r="C8" s="2"/>
    </row>
    <row r="10" spans="1:3" x14ac:dyDescent="0.3">
      <c r="A10" s="2">
        <v>3</v>
      </c>
      <c r="B10" s="3" t="s">
        <v>3</v>
      </c>
      <c r="C10" s="2"/>
    </row>
    <row r="11" spans="1:3" x14ac:dyDescent="0.3">
      <c r="A11" s="2"/>
      <c r="B11" s="4" t="s">
        <v>1</v>
      </c>
      <c r="C11" s="2" t="s">
        <v>4</v>
      </c>
    </row>
    <row r="12" spans="1:3" x14ac:dyDescent="0.3">
      <c r="A12" s="2"/>
      <c r="B12" s="5">
        <v>45</v>
      </c>
      <c r="C12" s="2">
        <f>MEDIAN(B12:B16)</f>
        <v>33</v>
      </c>
    </row>
    <row r="13" spans="1:3" x14ac:dyDescent="0.3">
      <c r="A13" s="2"/>
      <c r="B13" s="5">
        <v>21</v>
      </c>
      <c r="C13" s="2"/>
    </row>
    <row r="14" spans="1:3" x14ac:dyDescent="0.3">
      <c r="A14" s="2"/>
      <c r="B14" s="5">
        <v>33</v>
      </c>
      <c r="C14" s="2"/>
    </row>
    <row r="15" spans="1:3" x14ac:dyDescent="0.3">
      <c r="A15" s="2"/>
      <c r="B15" s="5">
        <v>29</v>
      </c>
      <c r="C15" s="2"/>
    </row>
    <row r="16" spans="1:3" x14ac:dyDescent="0.3">
      <c r="A16" s="2"/>
      <c r="B16" s="5">
        <v>37</v>
      </c>
      <c r="C16" s="2"/>
    </row>
    <row r="18" spans="1:6" x14ac:dyDescent="0.3">
      <c r="A18" s="2">
        <v>4</v>
      </c>
      <c r="B18" s="3" t="s">
        <v>5</v>
      </c>
      <c r="C18" s="2"/>
    </row>
    <row r="19" spans="1:6" x14ac:dyDescent="0.3">
      <c r="A19" s="2"/>
      <c r="B19" s="4" t="s">
        <v>1</v>
      </c>
      <c r="C19" s="2" t="s">
        <v>6</v>
      </c>
    </row>
    <row r="20" spans="1:6" x14ac:dyDescent="0.3">
      <c r="A20" s="2"/>
      <c r="B20" s="5">
        <v>8</v>
      </c>
      <c r="C20" s="2">
        <f>_xlfn.MODE.SNGL(B20:B25)</f>
        <v>10</v>
      </c>
    </row>
    <row r="21" spans="1:6" x14ac:dyDescent="0.3">
      <c r="A21" s="2"/>
      <c r="B21" s="5">
        <v>10</v>
      </c>
      <c r="C21" s="2"/>
    </row>
    <row r="22" spans="1:6" x14ac:dyDescent="0.3">
      <c r="A22" s="2"/>
      <c r="B22" s="5">
        <v>10</v>
      </c>
      <c r="C22" s="2"/>
    </row>
    <row r="23" spans="1:6" x14ac:dyDescent="0.3">
      <c r="A23" s="2"/>
      <c r="B23" s="5">
        <v>12</v>
      </c>
      <c r="C23" s="2"/>
    </row>
    <row r="24" spans="1:6" x14ac:dyDescent="0.3">
      <c r="A24" s="2"/>
      <c r="B24" s="5">
        <v>14</v>
      </c>
      <c r="C24" s="2"/>
    </row>
    <row r="25" spans="1:6" x14ac:dyDescent="0.3">
      <c r="A25" s="2"/>
      <c r="B25" s="5">
        <v>16</v>
      </c>
      <c r="C25" s="2"/>
    </row>
    <row r="27" spans="1:6" x14ac:dyDescent="0.3">
      <c r="A27" s="2">
        <v>5</v>
      </c>
      <c r="B27" s="3" t="s">
        <v>7</v>
      </c>
      <c r="C27" s="2"/>
      <c r="D27" s="2"/>
      <c r="E27" s="2"/>
      <c r="F27" s="2"/>
    </row>
    <row r="28" spans="1:6" x14ac:dyDescent="0.3">
      <c r="A28" s="2"/>
      <c r="B28" s="4" t="s">
        <v>1</v>
      </c>
      <c r="C28" s="2" t="s">
        <v>8</v>
      </c>
      <c r="D28" s="2"/>
      <c r="E28" s="2"/>
      <c r="F28" s="2"/>
    </row>
    <row r="29" spans="1:6" x14ac:dyDescent="0.3">
      <c r="A29" s="2"/>
      <c r="B29" s="5">
        <v>15</v>
      </c>
      <c r="C29" s="2">
        <f>_xlfn.STDEV.P(B29:B33)</f>
        <v>7.0710678118654755</v>
      </c>
      <c r="D29" s="2"/>
      <c r="E29" s="2"/>
      <c r="F29" s="2"/>
    </row>
    <row r="30" spans="1:6" x14ac:dyDescent="0.3">
      <c r="A30" s="2"/>
      <c r="B30" s="5">
        <v>20</v>
      </c>
      <c r="C30" s="2"/>
      <c r="D30" s="2"/>
      <c r="E30" s="2"/>
      <c r="F30" s="2"/>
    </row>
    <row r="31" spans="1:6" x14ac:dyDescent="0.3">
      <c r="A31" s="2"/>
      <c r="B31" s="5">
        <v>25</v>
      </c>
      <c r="C31" s="2"/>
      <c r="D31" s="2"/>
      <c r="E31" s="2"/>
      <c r="F31" s="2"/>
    </row>
    <row r="32" spans="1:6" x14ac:dyDescent="0.3">
      <c r="A32" s="2"/>
      <c r="B32" s="5">
        <v>30</v>
      </c>
      <c r="C32" s="2"/>
      <c r="D32" s="2"/>
      <c r="E32" s="2"/>
      <c r="F32" s="2"/>
    </row>
    <row r="33" spans="1:8" x14ac:dyDescent="0.3">
      <c r="A33" s="2"/>
      <c r="B33" s="5">
        <v>35</v>
      </c>
      <c r="C33" s="2"/>
      <c r="D33" s="2"/>
      <c r="E33" s="2"/>
      <c r="F33" s="2"/>
    </row>
    <row r="35" spans="1:8" x14ac:dyDescent="0.3">
      <c r="A35" s="2">
        <v>6</v>
      </c>
      <c r="B35" s="3" t="s">
        <v>9</v>
      </c>
      <c r="C35" s="2"/>
      <c r="D35" s="2"/>
      <c r="E35" s="2"/>
    </row>
    <row r="36" spans="1:8" x14ac:dyDescent="0.3">
      <c r="A36" s="2"/>
      <c r="B36" s="4" t="s">
        <v>1</v>
      </c>
      <c r="C36" s="2" t="s">
        <v>10</v>
      </c>
      <c r="D36" s="2" t="s">
        <v>11</v>
      </c>
      <c r="E36" s="2" t="s">
        <v>12</v>
      </c>
    </row>
    <row r="37" spans="1:8" x14ac:dyDescent="0.3">
      <c r="A37" s="2"/>
      <c r="B37" s="5">
        <v>5</v>
      </c>
      <c r="C37" s="2">
        <f>_xlfn.QUARTILE.INC($B$37:$B$45,1)</f>
        <v>9</v>
      </c>
      <c r="D37" s="2">
        <f>_xlfn.QUARTILE.INC($B$37:$B$45,2)</f>
        <v>13</v>
      </c>
      <c r="E37" s="2">
        <f>_xlfn.QUARTILE.INC($B$37:$B$45,3)</f>
        <v>17</v>
      </c>
    </row>
    <row r="38" spans="1:8" x14ac:dyDescent="0.3">
      <c r="A38" s="2"/>
      <c r="B38" s="5">
        <v>7</v>
      </c>
      <c r="C38" s="2"/>
      <c r="D38" s="2"/>
      <c r="E38" s="2"/>
    </row>
    <row r="39" spans="1:8" x14ac:dyDescent="0.3">
      <c r="A39" s="2"/>
      <c r="B39" s="5">
        <v>9</v>
      </c>
      <c r="C39" s="2"/>
      <c r="D39" s="2"/>
      <c r="E39" s="2"/>
    </row>
    <row r="40" spans="1:8" x14ac:dyDescent="0.3">
      <c r="A40" s="2"/>
      <c r="B40" s="5">
        <v>11</v>
      </c>
      <c r="C40" s="2"/>
      <c r="D40" s="2"/>
      <c r="E40" s="2"/>
    </row>
    <row r="41" spans="1:8" x14ac:dyDescent="0.3">
      <c r="A41" s="2"/>
      <c r="B41" s="5">
        <v>13</v>
      </c>
      <c r="C41" s="2"/>
      <c r="D41" s="2"/>
      <c r="E41" s="2"/>
    </row>
    <row r="42" spans="1:8" x14ac:dyDescent="0.3">
      <c r="A42" s="2"/>
      <c r="B42" s="5">
        <v>15</v>
      </c>
      <c r="C42" s="2"/>
      <c r="D42" s="2"/>
      <c r="E42" s="2"/>
    </row>
    <row r="43" spans="1:8" x14ac:dyDescent="0.3">
      <c r="A43" s="2"/>
      <c r="B43" s="5">
        <v>17</v>
      </c>
      <c r="C43" s="2"/>
      <c r="D43" s="2"/>
      <c r="E43" s="2"/>
    </row>
    <row r="44" spans="1:8" x14ac:dyDescent="0.3">
      <c r="A44" s="2"/>
      <c r="B44" s="5">
        <v>19</v>
      </c>
      <c r="C44" s="2"/>
      <c r="D44" s="2"/>
      <c r="E44" s="2"/>
    </row>
    <row r="45" spans="1:8" x14ac:dyDescent="0.3">
      <c r="A45" s="2"/>
      <c r="B45" s="5">
        <v>21</v>
      </c>
      <c r="C45" s="2"/>
      <c r="D45" s="2"/>
      <c r="E45" s="2"/>
    </row>
    <row r="47" spans="1:8" x14ac:dyDescent="0.3">
      <c r="A47" s="2">
        <v>8</v>
      </c>
      <c r="B47" s="3" t="s">
        <v>13</v>
      </c>
      <c r="C47" s="2"/>
      <c r="D47" s="2"/>
      <c r="E47" s="2"/>
      <c r="F47" s="2"/>
      <c r="G47" s="2"/>
      <c r="H47" s="2"/>
    </row>
    <row r="48" spans="1:8" x14ac:dyDescent="0.3">
      <c r="A48" s="2"/>
      <c r="B48" s="4" t="s">
        <v>1</v>
      </c>
      <c r="C48" s="2"/>
      <c r="D48" s="2"/>
      <c r="E48" s="2"/>
      <c r="F48" s="2" t="s">
        <v>10</v>
      </c>
      <c r="G48" s="2" t="s">
        <v>11</v>
      </c>
      <c r="H48" s="2" t="s">
        <v>12</v>
      </c>
    </row>
    <row r="49" spans="1:8" x14ac:dyDescent="0.3">
      <c r="A49" s="2"/>
      <c r="B49" s="5">
        <v>12</v>
      </c>
      <c r="C49" s="2"/>
      <c r="D49" s="2"/>
      <c r="E49" s="2"/>
      <c r="F49" s="2">
        <f>_xlfn.QUARTILE.INC($B$49:$B$57,1)</f>
        <v>15</v>
      </c>
      <c r="G49" s="2">
        <f>_xlfn.QUARTILE.INC($B$49:$B$57,2)</f>
        <v>17</v>
      </c>
      <c r="H49" s="2">
        <f>_xlfn.QUARTILE.INC($B$49:$B$57,3)</f>
        <v>19</v>
      </c>
    </row>
    <row r="50" spans="1:8" x14ac:dyDescent="0.3">
      <c r="A50" s="2"/>
      <c r="B50" s="5">
        <v>14</v>
      </c>
      <c r="C50" s="2"/>
      <c r="D50" s="2"/>
      <c r="E50" s="2"/>
      <c r="F50" s="2"/>
      <c r="G50" s="2"/>
      <c r="H50" s="2"/>
    </row>
    <row r="51" spans="1:8" x14ac:dyDescent="0.3">
      <c r="A51" s="2"/>
      <c r="B51" s="5">
        <v>15</v>
      </c>
      <c r="C51" s="2"/>
      <c r="D51" s="2"/>
      <c r="E51" s="2"/>
      <c r="F51" s="2" t="s">
        <v>14</v>
      </c>
      <c r="G51" s="2"/>
      <c r="H51" s="2"/>
    </row>
    <row r="52" spans="1:8" x14ac:dyDescent="0.3">
      <c r="A52" s="2"/>
      <c r="B52" s="5">
        <v>16</v>
      </c>
      <c r="C52" s="2"/>
      <c r="D52" s="2"/>
      <c r="E52" s="2"/>
      <c r="F52" s="2">
        <f>H49-F49</f>
        <v>4</v>
      </c>
      <c r="G52" s="2"/>
      <c r="H52" s="2"/>
    </row>
    <row r="53" spans="1:8" x14ac:dyDescent="0.3">
      <c r="A53" s="2"/>
      <c r="B53" s="5">
        <v>17</v>
      </c>
      <c r="C53" s="2"/>
      <c r="D53" s="2"/>
      <c r="E53" s="2"/>
      <c r="F53" s="2"/>
      <c r="G53" s="2"/>
      <c r="H53" s="2"/>
    </row>
    <row r="54" spans="1:8" x14ac:dyDescent="0.3">
      <c r="A54" s="2"/>
      <c r="B54" s="5">
        <v>18</v>
      </c>
      <c r="C54" s="2"/>
      <c r="D54" s="2"/>
      <c r="E54" s="2"/>
      <c r="F54" s="2" t="s">
        <v>15</v>
      </c>
      <c r="G54" s="2" t="s">
        <v>16</v>
      </c>
      <c r="H54" s="2"/>
    </row>
    <row r="55" spans="1:8" x14ac:dyDescent="0.3">
      <c r="A55" s="2"/>
      <c r="B55" s="5">
        <v>19</v>
      </c>
      <c r="C55" s="2"/>
      <c r="D55" s="2"/>
      <c r="E55" s="2"/>
      <c r="F55" s="2">
        <f>F49-(1.5*F52)</f>
        <v>9</v>
      </c>
      <c r="G55" s="2">
        <f>H49+(1.5*F52)</f>
        <v>25</v>
      </c>
      <c r="H55" s="2"/>
    </row>
    <row r="56" spans="1:8" x14ac:dyDescent="0.3">
      <c r="A56" s="2"/>
      <c r="B56" s="5">
        <v>20</v>
      </c>
      <c r="C56" s="2"/>
      <c r="D56" s="2"/>
      <c r="E56" s="2"/>
      <c r="F56" s="2"/>
      <c r="G56" s="2"/>
      <c r="H56" s="2"/>
    </row>
    <row r="57" spans="1:8" x14ac:dyDescent="0.3">
      <c r="A57" s="2"/>
      <c r="B57" s="5">
        <v>60</v>
      </c>
      <c r="C57" s="2"/>
      <c r="D57" s="2"/>
      <c r="E57" s="2"/>
      <c r="F57" s="6" t="s">
        <v>17</v>
      </c>
      <c r="G57" s="2"/>
      <c r="H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2026-08-03T04:24:36Z</dcterms:created>
  <dcterms:modified xsi:type="dcterms:W3CDTF">2026-08-03T04:44:15Z</dcterms:modified>
</cp:coreProperties>
</file>