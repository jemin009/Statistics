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07DC93DE-1592-4E14-A34A-50AE649923B8}" xr6:coauthVersionLast="47" xr6:coauthVersionMax="47" xr10:uidLastSave="{00000000-0000-0000-0000-000000000000}"/>
  <bookViews>
    <workbookView xWindow="-108" yWindow="-108" windowWidth="23256" windowHeight="12456" xr2:uid="{B536F708-00D2-474A-9FB1-48EE7FAE3C62}"/>
  </bookViews>
  <sheets>
    <sheet name="S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5" i="1" l="1"/>
  <c r="D115" i="1"/>
  <c r="F80" i="1"/>
  <c r="E80" i="1"/>
  <c r="D80" i="1"/>
  <c r="F64" i="1"/>
  <c r="F63" i="1"/>
  <c r="F62" i="1"/>
  <c r="F61" i="1"/>
  <c r="F60" i="1"/>
  <c r="I52" i="1"/>
  <c r="H52" i="1"/>
  <c r="I51" i="1"/>
  <c r="H51" i="1"/>
  <c r="G41" i="1"/>
  <c r="G40" i="1"/>
  <c r="H33" i="1"/>
  <c r="G33" i="1"/>
  <c r="H32" i="1"/>
  <c r="G32" i="1"/>
  <c r="H31" i="1"/>
  <c r="G31" i="1"/>
  <c r="H30" i="1"/>
  <c r="G30" i="1"/>
  <c r="E21" i="1"/>
  <c r="D21" i="1"/>
  <c r="E5" i="1"/>
  <c r="E4" i="1"/>
</calcChain>
</file>

<file path=xl/sharedStrings.xml><?xml version="1.0" encoding="utf-8"?>
<sst xmlns="http://schemas.openxmlformats.org/spreadsheetml/2006/main" count="128" uniqueCount="76">
  <si>
    <t>Mean vs Median: Revenue Analysis</t>
  </si>
  <si>
    <t>Q</t>
  </si>
  <si>
    <t>Daily Revenue</t>
  </si>
  <si>
    <t xml:space="preserve">Median </t>
  </si>
  <si>
    <t xml:space="preserve">Right skewed because of upper whisker length </t>
  </si>
  <si>
    <t>used to that extreme value total beacome high so mean is bigger</t>
  </si>
  <si>
    <t>SD vs CV: Two Production Lines</t>
  </si>
  <si>
    <t>Production Line</t>
  </si>
  <si>
    <t>Mean Output</t>
  </si>
  <si>
    <t>SD</t>
  </si>
  <si>
    <t>A</t>
  </si>
  <si>
    <t>B</t>
  </si>
  <si>
    <t>CV</t>
  </si>
  <si>
    <t>Line B</t>
  </si>
  <si>
    <t>Line A</t>
  </si>
  <si>
    <t>SD measures absolute variability, while CV measures variability relative to the mean. Since Line A and B have very different output levels, comparing SD alone is incomplete.</t>
  </si>
  <si>
    <t>IQR Resistance to Outliers</t>
  </si>
  <si>
    <t>Dataset A</t>
  </si>
  <si>
    <t>Dataset B</t>
  </si>
  <si>
    <t>Range</t>
  </si>
  <si>
    <t>Q1</t>
  </si>
  <si>
    <t>Q3</t>
  </si>
  <si>
    <t>IQR</t>
  </si>
  <si>
    <t>range</t>
  </si>
  <si>
    <t xml:space="preserve">outlier is affect to range but not IQR </t>
  </si>
  <si>
    <t>Statistic</t>
  </si>
  <si>
    <t>Value</t>
  </si>
  <si>
    <t>Minimum</t>
  </si>
  <si>
    <t>Median</t>
  </si>
  <si>
    <t>Maximum</t>
  </si>
  <si>
    <t>Five Number Summary + Shape</t>
  </si>
  <si>
    <t>LWL</t>
  </si>
  <si>
    <t>UWL</t>
  </si>
  <si>
    <t>right side</t>
  </si>
  <si>
    <t>right skewed</t>
  </si>
  <si>
    <t>data has extreme value which is outlier so that upper whisker length become bigger so that data is right skewed</t>
  </si>
  <si>
    <t>Box Plot Comparison</t>
  </si>
  <si>
    <t>Department A</t>
  </si>
  <si>
    <t>Department B</t>
  </si>
  <si>
    <t>Deaprtment B</t>
  </si>
  <si>
    <t>Outlier Detection + Decision</t>
  </si>
  <si>
    <t>delivery times are</t>
  </si>
  <si>
    <t>Lower fence</t>
  </si>
  <si>
    <t>Upper fence</t>
  </si>
  <si>
    <t>Outlier</t>
  </si>
  <si>
    <t>beacause of used to outlier mean become bigger so median is better than mean in this scinario</t>
  </si>
  <si>
    <t>CV Ranking</t>
  </si>
  <si>
    <t>Investment</t>
  </si>
  <si>
    <t>Mean Return</t>
  </si>
  <si>
    <t>C</t>
  </si>
  <si>
    <t>C,A=B</t>
  </si>
  <si>
    <t xml:space="preserve">C  </t>
  </si>
  <si>
    <t>Yes</t>
  </si>
  <si>
    <t>Conflicting Statistics</t>
  </si>
  <si>
    <t>Store</t>
  </si>
  <si>
    <t>Mean Sales</t>
  </si>
  <si>
    <t>Median Sales</t>
  </si>
  <si>
    <t>Store B</t>
  </si>
  <si>
    <t>Store A</t>
  </si>
  <si>
    <t>Store B, because of mean id bigger so highly evidence that data hast outlier</t>
  </si>
  <si>
    <t>Choose the Best Measure</t>
  </si>
  <si>
    <t>D</t>
  </si>
  <si>
    <t>E</t>
  </si>
  <si>
    <t>F</t>
  </si>
  <si>
    <t>Box Plot</t>
  </si>
  <si>
    <t>mean</t>
  </si>
  <si>
    <t>Full Data Analyst Case</t>
  </si>
  <si>
    <t>Platform</t>
  </si>
  <si>
    <t>Mean Delivery</t>
  </si>
  <si>
    <t>Median Delivery</t>
  </si>
  <si>
    <t>Platform A</t>
  </si>
  <si>
    <t>Platform B</t>
  </si>
  <si>
    <t xml:space="preserve">platfrom A , because of mean is bigger so data can be have outliers </t>
  </si>
  <si>
    <t>platform B</t>
  </si>
  <si>
    <t>platform A</t>
  </si>
  <si>
    <t>because of due to outlier that value fructuate so looking all of these value is gives better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</si>
</sst>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6" fontId="0" fillId="0" borderId="0" xfId="0" applyNumberFormat="1"/>
    <xf numFmtId="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F37-9A67-45A2-AE54-7A02355ED4B0}">
  <dimension ref="A1:I123"/>
  <sheetViews>
    <sheetView tabSelected="1" zoomScale="160" zoomScaleNormal="160" workbookViewId="0">
      <selection activeCell="H115" sqref="H115"/>
    </sheetView>
  </sheetViews>
  <sheetFormatPr defaultRowHeight="14.4" x14ac:dyDescent="0.3"/>
  <cols>
    <col min="2" max="2" width="19.21875" bestFit="1" customWidth="1"/>
    <col min="3" max="3" width="16" bestFit="1" customWidth="1"/>
    <col min="4" max="4" width="18" bestFit="1" customWidth="1"/>
    <col min="7" max="7" width="15.6640625" bestFit="1" customWidth="1"/>
    <col min="8" max="8" width="15.5546875" bestFit="1" customWidth="1"/>
  </cols>
  <sheetData>
    <row r="1" spans="1:5" x14ac:dyDescent="0.3">
      <c r="A1" t="s">
        <v>1</v>
      </c>
    </row>
    <row r="2" spans="1:5" ht="17.399999999999999" x14ac:dyDescent="0.35">
      <c r="A2">
        <v>1</v>
      </c>
      <c r="B2" s="1" t="s">
        <v>0</v>
      </c>
    </row>
    <row r="3" spans="1:5" ht="15" thickBot="1" x14ac:dyDescent="0.35"/>
    <row r="4" spans="1:5" ht="18" thickBot="1" x14ac:dyDescent="0.35">
      <c r="B4" s="5" t="s">
        <v>2</v>
      </c>
      <c r="D4">
        <v>1</v>
      </c>
      <c r="E4" s="3">
        <f>AVERAGE(B5:B12)</f>
        <v>1850</v>
      </c>
    </row>
    <row r="5" spans="1:5" ht="18" thickBot="1" x14ac:dyDescent="0.35">
      <c r="B5" s="4">
        <v>800</v>
      </c>
      <c r="D5">
        <v>2</v>
      </c>
      <c r="E5" s="3">
        <f>MEDIAN(B5:B12)</f>
        <v>975</v>
      </c>
    </row>
    <row r="6" spans="1:5" ht="18" thickBot="1" x14ac:dyDescent="0.35">
      <c r="B6" s="4">
        <v>850</v>
      </c>
      <c r="D6">
        <v>3</v>
      </c>
      <c r="E6" t="s">
        <v>3</v>
      </c>
    </row>
    <row r="7" spans="1:5" ht="18" thickBot="1" x14ac:dyDescent="0.35">
      <c r="B7" s="4">
        <v>900</v>
      </c>
      <c r="D7">
        <v>4</v>
      </c>
      <c r="E7" t="s">
        <v>4</v>
      </c>
    </row>
    <row r="8" spans="1:5" ht="18" thickBot="1" x14ac:dyDescent="0.35">
      <c r="B8" s="4">
        <v>950</v>
      </c>
      <c r="D8">
        <v>5</v>
      </c>
      <c r="E8" t="s">
        <v>5</v>
      </c>
    </row>
    <row r="9" spans="1:5" ht="18" thickBot="1" x14ac:dyDescent="0.35">
      <c r="B9" s="4">
        <v>1000</v>
      </c>
    </row>
    <row r="10" spans="1:5" ht="18" thickBot="1" x14ac:dyDescent="0.35">
      <c r="B10" s="4">
        <v>1100</v>
      </c>
    </row>
    <row r="11" spans="1:5" ht="18" thickBot="1" x14ac:dyDescent="0.35">
      <c r="B11" s="4">
        <v>1200</v>
      </c>
    </row>
    <row r="12" spans="1:5" ht="18" thickBot="1" x14ac:dyDescent="0.35">
      <c r="B12" s="4">
        <v>8000</v>
      </c>
    </row>
    <row r="14" spans="1:5" ht="17.399999999999999" x14ac:dyDescent="0.35">
      <c r="A14">
        <v>2</v>
      </c>
      <c r="B14" s="1" t="s">
        <v>6</v>
      </c>
    </row>
    <row r="15" spans="1:5" ht="15" thickBot="1" x14ac:dyDescent="0.35"/>
    <row r="16" spans="1:5" ht="18" thickBot="1" x14ac:dyDescent="0.35">
      <c r="B16" s="5" t="s">
        <v>7</v>
      </c>
      <c r="C16" s="5" t="s">
        <v>8</v>
      </c>
      <c r="D16" s="2" t="s">
        <v>9</v>
      </c>
    </row>
    <row r="17" spans="1:8" ht="18" thickBot="1" x14ac:dyDescent="0.35">
      <c r="B17" s="6" t="s">
        <v>10</v>
      </c>
      <c r="C17" s="6">
        <v>500</v>
      </c>
      <c r="D17" s="6">
        <v>40</v>
      </c>
    </row>
    <row r="18" spans="1:8" ht="18" thickBot="1" x14ac:dyDescent="0.35">
      <c r="B18" s="6" t="s">
        <v>11</v>
      </c>
      <c r="C18" s="7">
        <v>2000</v>
      </c>
      <c r="D18" s="6">
        <v>120</v>
      </c>
    </row>
    <row r="20" spans="1:8" x14ac:dyDescent="0.3">
      <c r="D20" t="s">
        <v>10</v>
      </c>
      <c r="E20" t="s">
        <v>11</v>
      </c>
    </row>
    <row r="21" spans="1:8" x14ac:dyDescent="0.3">
      <c r="B21" t="s">
        <v>12</v>
      </c>
      <c r="C21">
        <v>1</v>
      </c>
      <c r="D21">
        <f>D17/C17*100</f>
        <v>8</v>
      </c>
      <c r="E21">
        <f>D18/C18*100</f>
        <v>6</v>
      </c>
    </row>
    <row r="22" spans="1:8" x14ac:dyDescent="0.3">
      <c r="C22">
        <v>2</v>
      </c>
      <c r="D22" t="s">
        <v>13</v>
      </c>
    </row>
    <row r="23" spans="1:8" x14ac:dyDescent="0.3">
      <c r="C23">
        <v>3</v>
      </c>
      <c r="D23" t="s">
        <v>14</v>
      </c>
    </row>
    <row r="24" spans="1:8" x14ac:dyDescent="0.3">
      <c r="C24">
        <v>4</v>
      </c>
      <c r="D24" t="s">
        <v>13</v>
      </c>
    </row>
    <row r="25" spans="1:8" x14ac:dyDescent="0.3">
      <c r="C25">
        <v>5</v>
      </c>
      <c r="D25" t="s">
        <v>15</v>
      </c>
    </row>
    <row r="27" spans="1:8" ht="17.399999999999999" x14ac:dyDescent="0.35">
      <c r="A27">
        <v>3</v>
      </c>
      <c r="B27" s="1" t="s">
        <v>16</v>
      </c>
    </row>
    <row r="29" spans="1:8" ht="17.399999999999999" x14ac:dyDescent="0.3">
      <c r="B29" s="8" t="s">
        <v>17</v>
      </c>
      <c r="C29" s="8" t="s">
        <v>18</v>
      </c>
      <c r="F29" s="9"/>
      <c r="G29" t="s">
        <v>10</v>
      </c>
      <c r="H29" t="s">
        <v>11</v>
      </c>
    </row>
    <row r="30" spans="1:8" ht="17.399999999999999" x14ac:dyDescent="0.3">
      <c r="B30" s="9">
        <v>10</v>
      </c>
      <c r="C30" s="9">
        <v>10</v>
      </c>
      <c r="E30" t="s">
        <v>19</v>
      </c>
      <c r="F30">
        <v>1</v>
      </c>
      <c r="G30">
        <f>MAX(B30:B36)-MIN(B30:B36)</f>
        <v>10</v>
      </c>
      <c r="H30">
        <f>MAX(C30:C36)-MIN(C30:C36)</f>
        <v>70</v>
      </c>
    </row>
    <row r="31" spans="1:8" x14ac:dyDescent="0.3">
      <c r="B31">
        <v>12</v>
      </c>
      <c r="C31">
        <v>12</v>
      </c>
      <c r="E31" t="s">
        <v>20</v>
      </c>
      <c r="F31">
        <v>2</v>
      </c>
      <c r="G31">
        <f>_xlfn.QUARTILE.INC(B30:B36,1)</f>
        <v>13</v>
      </c>
      <c r="H31">
        <f>_xlfn.QUARTILE.INC(C30:C36,1)</f>
        <v>13</v>
      </c>
    </row>
    <row r="32" spans="1:8" x14ac:dyDescent="0.3">
      <c r="B32">
        <v>14</v>
      </c>
      <c r="C32">
        <v>14</v>
      </c>
      <c r="E32" t="s">
        <v>21</v>
      </c>
      <c r="F32">
        <v>3</v>
      </c>
      <c r="G32">
        <f>_xlfn.QUARTILE.INC(B30:B36,3)</f>
        <v>17</v>
      </c>
      <c r="H32">
        <f>_xlfn.QUARTILE.INC(C30:C36,3)</f>
        <v>17</v>
      </c>
    </row>
    <row r="33" spans="1:8" x14ac:dyDescent="0.3">
      <c r="B33">
        <v>15</v>
      </c>
      <c r="C33">
        <v>15</v>
      </c>
      <c r="E33" t="s">
        <v>22</v>
      </c>
      <c r="F33">
        <v>4</v>
      </c>
      <c r="G33">
        <f>G32-G31</f>
        <v>4</v>
      </c>
      <c r="H33">
        <f>H32-H31</f>
        <v>4</v>
      </c>
    </row>
    <row r="34" spans="1:8" x14ac:dyDescent="0.3">
      <c r="B34">
        <v>16</v>
      </c>
      <c r="C34">
        <v>16</v>
      </c>
      <c r="F34">
        <v>5</v>
      </c>
      <c r="G34" t="s">
        <v>23</v>
      </c>
    </row>
    <row r="35" spans="1:8" x14ac:dyDescent="0.3">
      <c r="B35">
        <v>18</v>
      </c>
      <c r="C35">
        <v>18</v>
      </c>
      <c r="F35">
        <v>6</v>
      </c>
      <c r="G35" t="s">
        <v>24</v>
      </c>
    </row>
    <row r="36" spans="1:8" x14ac:dyDescent="0.3">
      <c r="B36">
        <v>20</v>
      </c>
      <c r="C36">
        <v>80</v>
      </c>
    </row>
    <row r="38" spans="1:8" ht="17.399999999999999" x14ac:dyDescent="0.35">
      <c r="A38">
        <v>4</v>
      </c>
      <c r="B38" s="1" t="s">
        <v>30</v>
      </c>
    </row>
    <row r="39" spans="1:8" ht="15" thickBot="1" x14ac:dyDescent="0.35"/>
    <row r="40" spans="1:8" ht="18" thickBot="1" x14ac:dyDescent="0.35">
      <c r="B40" s="2" t="s">
        <v>25</v>
      </c>
      <c r="C40" s="2" t="s">
        <v>26</v>
      </c>
      <c r="E40" t="s">
        <v>31</v>
      </c>
      <c r="F40">
        <v>1</v>
      </c>
      <c r="G40">
        <f>C42-C41</f>
        <v>8</v>
      </c>
    </row>
    <row r="41" spans="1:8" ht="18" thickBot="1" x14ac:dyDescent="0.35">
      <c r="B41" s="6" t="s">
        <v>27</v>
      </c>
      <c r="C41" s="6">
        <v>12</v>
      </c>
      <c r="E41" t="s">
        <v>32</v>
      </c>
      <c r="F41">
        <v>2</v>
      </c>
      <c r="G41">
        <f>C45-C44</f>
        <v>45</v>
      </c>
    </row>
    <row r="42" spans="1:8" ht="18" thickBot="1" x14ac:dyDescent="0.35">
      <c r="B42" s="6" t="s">
        <v>20</v>
      </c>
      <c r="C42" s="6">
        <v>20</v>
      </c>
      <c r="F42">
        <v>3</v>
      </c>
      <c r="G42" t="s">
        <v>33</v>
      </c>
    </row>
    <row r="43" spans="1:8" ht="18" thickBot="1" x14ac:dyDescent="0.35">
      <c r="B43" s="6" t="s">
        <v>28</v>
      </c>
      <c r="C43" s="6">
        <v>28</v>
      </c>
      <c r="F43">
        <v>4</v>
      </c>
      <c r="G43" t="s">
        <v>34</v>
      </c>
    </row>
    <row r="44" spans="1:8" ht="18" thickBot="1" x14ac:dyDescent="0.35">
      <c r="B44" s="6" t="s">
        <v>21</v>
      </c>
      <c r="C44" s="6">
        <v>35</v>
      </c>
      <c r="F44">
        <v>5</v>
      </c>
      <c r="G44" t="s">
        <v>35</v>
      </c>
    </row>
    <row r="45" spans="1:8" ht="18" thickBot="1" x14ac:dyDescent="0.35">
      <c r="B45" s="6" t="s">
        <v>29</v>
      </c>
      <c r="C45" s="6">
        <v>80</v>
      </c>
    </row>
    <row r="47" spans="1:8" ht="17.399999999999999" x14ac:dyDescent="0.35">
      <c r="A47">
        <v>5</v>
      </c>
      <c r="B47" s="1" t="s">
        <v>36</v>
      </c>
    </row>
    <row r="48" spans="1:8" ht="15" thickBot="1" x14ac:dyDescent="0.35"/>
    <row r="49" spans="1:9" ht="35.4" thickBot="1" x14ac:dyDescent="0.35">
      <c r="B49" s="2" t="s">
        <v>25</v>
      </c>
      <c r="C49" s="2" t="s">
        <v>37</v>
      </c>
      <c r="D49" s="5" t="s">
        <v>38</v>
      </c>
      <c r="H49" s="5" t="s">
        <v>37</v>
      </c>
      <c r="I49" s="5" t="s">
        <v>38</v>
      </c>
    </row>
    <row r="50" spans="1:9" ht="18" thickBot="1" x14ac:dyDescent="0.35">
      <c r="B50" s="6" t="s">
        <v>27</v>
      </c>
      <c r="C50" s="4">
        <v>20000</v>
      </c>
      <c r="D50" s="4">
        <v>15000</v>
      </c>
      <c r="G50">
        <v>1</v>
      </c>
      <c r="H50" t="s">
        <v>37</v>
      </c>
    </row>
    <row r="51" spans="1:9" ht="18" thickBot="1" x14ac:dyDescent="0.35">
      <c r="B51" s="6" t="s">
        <v>20</v>
      </c>
      <c r="C51" s="4">
        <v>30000</v>
      </c>
      <c r="D51" s="4">
        <v>25000</v>
      </c>
      <c r="F51" t="s">
        <v>22</v>
      </c>
      <c r="G51">
        <v>2</v>
      </c>
      <c r="H51" s="3">
        <f>_xlfn.QUARTILE.INC(C50:C54,3)-_xlfn.QUARTILE.INC(C50:C54,1)</f>
        <v>18000</v>
      </c>
      <c r="I51" s="3">
        <f>_xlfn.QUARTILE.INC(D50:D54,3)-_xlfn.QUARTILE.INC(D50:D54,1)</f>
        <v>35000</v>
      </c>
    </row>
    <row r="52" spans="1:9" ht="18" thickBot="1" x14ac:dyDescent="0.35">
      <c r="B52" s="6" t="s">
        <v>28</v>
      </c>
      <c r="C52" s="4">
        <v>40000</v>
      </c>
      <c r="D52" s="4">
        <v>38000</v>
      </c>
      <c r="G52">
        <v>3</v>
      </c>
      <c r="H52" s="3">
        <f>MAX(C50:C54)-MIN(C50:C54)</f>
        <v>35000</v>
      </c>
      <c r="I52" s="3">
        <f>MAX(D50:D54)-MIN(D50:D54)</f>
        <v>85000</v>
      </c>
    </row>
    <row r="53" spans="1:9" ht="18" thickBot="1" x14ac:dyDescent="0.35">
      <c r="B53" s="6" t="s">
        <v>21</v>
      </c>
      <c r="C53" s="4">
        <v>48000</v>
      </c>
      <c r="D53" s="4">
        <v>60000</v>
      </c>
      <c r="G53">
        <v>4</v>
      </c>
      <c r="H53" t="s">
        <v>38</v>
      </c>
    </row>
    <row r="54" spans="1:9" ht="18" thickBot="1" x14ac:dyDescent="0.35">
      <c r="B54" s="6" t="s">
        <v>29</v>
      </c>
      <c r="C54" s="4">
        <v>55000</v>
      </c>
      <c r="D54" s="4">
        <v>100000</v>
      </c>
      <c r="G54">
        <v>5</v>
      </c>
      <c r="H54" t="s">
        <v>37</v>
      </c>
    </row>
    <row r="55" spans="1:9" x14ac:dyDescent="0.3">
      <c r="G55">
        <v>6</v>
      </c>
      <c r="H55" t="s">
        <v>38</v>
      </c>
    </row>
    <row r="56" spans="1:9" x14ac:dyDescent="0.3">
      <c r="G56">
        <v>7</v>
      </c>
      <c r="H56" t="s">
        <v>39</v>
      </c>
    </row>
    <row r="58" spans="1:9" ht="17.399999999999999" x14ac:dyDescent="0.35">
      <c r="A58">
        <v>6</v>
      </c>
      <c r="B58" s="1" t="s">
        <v>40</v>
      </c>
    </row>
    <row r="60" spans="1:9" ht="17.399999999999999" x14ac:dyDescent="0.35">
      <c r="B60" s="1" t="s">
        <v>41</v>
      </c>
      <c r="D60" t="s">
        <v>20</v>
      </c>
      <c r="E60">
        <v>1</v>
      </c>
      <c r="F60">
        <f>_xlfn.QUARTILE.INC(B61:B70,1)</f>
        <v>15.25</v>
      </c>
    </row>
    <row r="61" spans="1:9" ht="17.399999999999999" x14ac:dyDescent="0.3">
      <c r="B61" s="10">
        <v>11</v>
      </c>
      <c r="D61" t="s">
        <v>21</v>
      </c>
      <c r="E61" s="9">
        <v>2</v>
      </c>
      <c r="F61">
        <f>_xlfn.QUARTILE.INC(B61:B70,3)</f>
        <v>22.5</v>
      </c>
    </row>
    <row r="62" spans="1:9" x14ac:dyDescent="0.3">
      <c r="B62">
        <v>13</v>
      </c>
      <c r="D62" t="s">
        <v>22</v>
      </c>
      <c r="E62">
        <v>3</v>
      </c>
      <c r="F62">
        <f>F61-F60</f>
        <v>7.25</v>
      </c>
    </row>
    <row r="63" spans="1:9" x14ac:dyDescent="0.3">
      <c r="B63">
        <v>15</v>
      </c>
      <c r="D63" t="s">
        <v>42</v>
      </c>
      <c r="E63">
        <v>4</v>
      </c>
      <c r="F63">
        <f>F60-(1.5*F62)</f>
        <v>4.375</v>
      </c>
    </row>
    <row r="64" spans="1:9" x14ac:dyDescent="0.3">
      <c r="B64">
        <v>16</v>
      </c>
      <c r="D64" t="s">
        <v>43</v>
      </c>
      <c r="E64">
        <v>5</v>
      </c>
      <c r="F64">
        <f>F61+(1.5*F62)</f>
        <v>33.375</v>
      </c>
    </row>
    <row r="65" spans="1:6" x14ac:dyDescent="0.3">
      <c r="B65">
        <v>18</v>
      </c>
      <c r="D65" t="s">
        <v>44</v>
      </c>
      <c r="E65">
        <v>6</v>
      </c>
      <c r="F65">
        <v>60</v>
      </c>
    </row>
    <row r="66" spans="1:6" x14ac:dyDescent="0.3">
      <c r="B66">
        <v>19</v>
      </c>
      <c r="E66">
        <v>7</v>
      </c>
      <c r="F66" t="s">
        <v>28</v>
      </c>
    </row>
    <row r="67" spans="1:6" x14ac:dyDescent="0.3">
      <c r="B67">
        <v>21</v>
      </c>
      <c r="E67">
        <v>8</v>
      </c>
      <c r="F67" t="s">
        <v>45</v>
      </c>
    </row>
    <row r="68" spans="1:6" x14ac:dyDescent="0.3">
      <c r="B68">
        <v>23</v>
      </c>
    </row>
    <row r="69" spans="1:6" x14ac:dyDescent="0.3">
      <c r="B69">
        <v>25</v>
      </c>
    </row>
    <row r="70" spans="1:6" x14ac:dyDescent="0.3">
      <c r="B70">
        <v>60</v>
      </c>
    </row>
    <row r="72" spans="1:6" ht="17.399999999999999" x14ac:dyDescent="0.35">
      <c r="A72">
        <v>7</v>
      </c>
      <c r="B72" s="1" t="s">
        <v>46</v>
      </c>
    </row>
    <row r="73" spans="1:6" ht="15" thickBot="1" x14ac:dyDescent="0.35"/>
    <row r="74" spans="1:6" ht="18" thickBot="1" x14ac:dyDescent="0.35">
      <c r="B74" s="2" t="s">
        <v>47</v>
      </c>
      <c r="C74" s="2" t="s">
        <v>48</v>
      </c>
      <c r="D74" s="2" t="s">
        <v>9</v>
      </c>
    </row>
    <row r="75" spans="1:6" ht="18" thickBot="1" x14ac:dyDescent="0.35">
      <c r="B75" s="6" t="s">
        <v>10</v>
      </c>
      <c r="C75" s="11">
        <v>0.12</v>
      </c>
      <c r="D75" s="12">
        <v>2.4E-2</v>
      </c>
    </row>
    <row r="76" spans="1:6" ht="18" thickBot="1" x14ac:dyDescent="0.35">
      <c r="B76" s="6" t="s">
        <v>11</v>
      </c>
      <c r="C76" s="11">
        <v>0.2</v>
      </c>
      <c r="D76" s="11">
        <v>0.04</v>
      </c>
    </row>
    <row r="77" spans="1:6" ht="18" thickBot="1" x14ac:dyDescent="0.35">
      <c r="B77" s="6" t="s">
        <v>49</v>
      </c>
      <c r="C77" s="11">
        <v>0.3</v>
      </c>
      <c r="D77" s="12">
        <v>4.4999999999999998E-2</v>
      </c>
    </row>
    <row r="79" spans="1:6" x14ac:dyDescent="0.3">
      <c r="D79" t="s">
        <v>10</v>
      </c>
      <c r="E79" t="s">
        <v>11</v>
      </c>
      <c r="F79" t="s">
        <v>49</v>
      </c>
    </row>
    <row r="80" spans="1:6" ht="17.399999999999999" x14ac:dyDescent="0.3">
      <c r="B80" s="13" t="s">
        <v>12</v>
      </c>
      <c r="C80">
        <v>1</v>
      </c>
      <c r="D80">
        <f>D75/C75*100</f>
        <v>20</v>
      </c>
      <c r="E80">
        <f>D75/C75*100</f>
        <v>20</v>
      </c>
      <c r="F80">
        <f>D77/C77*100</f>
        <v>15</v>
      </c>
    </row>
    <row r="81" spans="1:5" x14ac:dyDescent="0.3">
      <c r="C81">
        <v>2</v>
      </c>
      <c r="D81" t="s">
        <v>50</v>
      </c>
    </row>
    <row r="82" spans="1:5" x14ac:dyDescent="0.3">
      <c r="C82">
        <v>3</v>
      </c>
      <c r="D82" t="s">
        <v>51</v>
      </c>
    </row>
    <row r="83" spans="1:5" x14ac:dyDescent="0.3">
      <c r="C83">
        <v>4</v>
      </c>
      <c r="D83" t="s">
        <v>49</v>
      </c>
    </row>
    <row r="84" spans="1:5" x14ac:dyDescent="0.3">
      <c r="C84">
        <v>5</v>
      </c>
      <c r="D84" t="s">
        <v>52</v>
      </c>
    </row>
    <row r="85" spans="1:5" x14ac:dyDescent="0.3">
      <c r="C85">
        <v>6</v>
      </c>
      <c r="D85" t="s">
        <v>49</v>
      </c>
    </row>
    <row r="87" spans="1:5" ht="17.399999999999999" x14ac:dyDescent="0.35">
      <c r="A87">
        <v>8</v>
      </c>
      <c r="B87" s="1" t="s">
        <v>53</v>
      </c>
    </row>
    <row r="88" spans="1:5" ht="15" thickBot="1" x14ac:dyDescent="0.35"/>
    <row r="89" spans="1:5" ht="18" thickBot="1" x14ac:dyDescent="0.35">
      <c r="B89" s="2" t="s">
        <v>54</v>
      </c>
      <c r="C89" s="2" t="s">
        <v>55</v>
      </c>
      <c r="D89" s="2" t="s">
        <v>56</v>
      </c>
      <c r="E89" s="2" t="s">
        <v>9</v>
      </c>
    </row>
    <row r="90" spans="1:5" ht="18" thickBot="1" x14ac:dyDescent="0.35">
      <c r="B90" s="6" t="s">
        <v>10</v>
      </c>
      <c r="C90" s="4">
        <v>50000</v>
      </c>
      <c r="D90" s="4">
        <v>49000</v>
      </c>
      <c r="E90" s="4">
        <v>4000</v>
      </c>
    </row>
    <row r="91" spans="1:5" ht="18" thickBot="1" x14ac:dyDescent="0.35">
      <c r="B91" s="6" t="s">
        <v>11</v>
      </c>
      <c r="C91" s="4">
        <v>70000</v>
      </c>
      <c r="D91" s="4">
        <v>45000</v>
      </c>
      <c r="E91" s="4">
        <v>5000</v>
      </c>
    </row>
    <row r="94" spans="1:5" x14ac:dyDescent="0.3">
      <c r="C94">
        <v>1</v>
      </c>
      <c r="D94" t="s">
        <v>57</v>
      </c>
    </row>
    <row r="95" spans="1:5" x14ac:dyDescent="0.3">
      <c r="C95">
        <v>2</v>
      </c>
      <c r="D95" t="s">
        <v>58</v>
      </c>
    </row>
    <row r="96" spans="1:5" x14ac:dyDescent="0.3">
      <c r="C96">
        <v>3</v>
      </c>
      <c r="D96" t="s">
        <v>59</v>
      </c>
    </row>
    <row r="97" spans="1:5" x14ac:dyDescent="0.3">
      <c r="C97">
        <v>4</v>
      </c>
      <c r="D97" t="s">
        <v>57</v>
      </c>
    </row>
    <row r="99" spans="1:5" ht="17.399999999999999" x14ac:dyDescent="0.35">
      <c r="A99">
        <v>9</v>
      </c>
      <c r="B99" s="1" t="s">
        <v>60</v>
      </c>
    </row>
    <row r="101" spans="1:5" x14ac:dyDescent="0.3">
      <c r="B101" t="s">
        <v>10</v>
      </c>
      <c r="C101" t="s">
        <v>28</v>
      </c>
    </row>
    <row r="102" spans="1:5" x14ac:dyDescent="0.3">
      <c r="B102" t="s">
        <v>11</v>
      </c>
      <c r="C102" t="s">
        <v>12</v>
      </c>
    </row>
    <row r="103" spans="1:5" x14ac:dyDescent="0.3">
      <c r="B103" t="s">
        <v>49</v>
      </c>
      <c r="C103" t="s">
        <v>22</v>
      </c>
    </row>
    <row r="104" spans="1:5" x14ac:dyDescent="0.3">
      <c r="B104" t="s">
        <v>61</v>
      </c>
      <c r="C104" t="s">
        <v>64</v>
      </c>
    </row>
    <row r="105" spans="1:5" x14ac:dyDescent="0.3">
      <c r="B105" t="s">
        <v>62</v>
      </c>
      <c r="C105" t="s">
        <v>12</v>
      </c>
    </row>
    <row r="106" spans="1:5" x14ac:dyDescent="0.3">
      <c r="B106" t="s">
        <v>63</v>
      </c>
      <c r="C106" t="s">
        <v>65</v>
      </c>
    </row>
    <row r="108" spans="1:5" ht="17.399999999999999" x14ac:dyDescent="0.35">
      <c r="A108">
        <v>10</v>
      </c>
      <c r="B108" s="1" t="s">
        <v>66</v>
      </c>
    </row>
    <row r="109" spans="1:5" ht="15" thickBot="1" x14ac:dyDescent="0.35"/>
    <row r="110" spans="1:5" ht="18" thickBot="1" x14ac:dyDescent="0.35">
      <c r="B110" s="2" t="s">
        <v>67</v>
      </c>
      <c r="C110" s="5" t="s">
        <v>68</v>
      </c>
      <c r="D110" s="5" t="s">
        <v>69</v>
      </c>
      <c r="E110" s="2" t="s">
        <v>9</v>
      </c>
    </row>
    <row r="111" spans="1:5" ht="18" thickBot="1" x14ac:dyDescent="0.35">
      <c r="B111" s="6" t="s">
        <v>10</v>
      </c>
      <c r="C111" s="6">
        <v>35</v>
      </c>
      <c r="D111" s="6">
        <v>28</v>
      </c>
      <c r="E111" s="6">
        <v>7</v>
      </c>
    </row>
    <row r="112" spans="1:5" ht="18" thickBot="1" x14ac:dyDescent="0.35">
      <c r="B112" s="6" t="s">
        <v>11</v>
      </c>
      <c r="C112" s="6">
        <v>50</v>
      </c>
      <c r="D112" s="6">
        <v>48</v>
      </c>
      <c r="E112" s="6">
        <v>5</v>
      </c>
    </row>
    <row r="114" spans="2:5" x14ac:dyDescent="0.3">
      <c r="D114" t="s">
        <v>10</v>
      </c>
      <c r="E114" t="s">
        <v>11</v>
      </c>
    </row>
    <row r="115" spans="2:5" x14ac:dyDescent="0.3">
      <c r="B115" t="s">
        <v>12</v>
      </c>
      <c r="C115">
        <v>1</v>
      </c>
      <c r="D115">
        <f>E111/C111*100</f>
        <v>20</v>
      </c>
      <c r="E115">
        <f>E112/C112*100</f>
        <v>10</v>
      </c>
    </row>
    <row r="116" spans="2:5" x14ac:dyDescent="0.3">
      <c r="C116">
        <v>2</v>
      </c>
      <c r="D116" t="s">
        <v>70</v>
      </c>
    </row>
    <row r="117" spans="2:5" x14ac:dyDescent="0.3">
      <c r="C117">
        <v>3</v>
      </c>
      <c r="D117" t="s">
        <v>71</v>
      </c>
    </row>
    <row r="118" spans="2:5" x14ac:dyDescent="0.3">
      <c r="C118">
        <v>4</v>
      </c>
      <c r="D118" t="s">
        <v>72</v>
      </c>
    </row>
    <row r="119" spans="2:5" x14ac:dyDescent="0.3">
      <c r="C119">
        <v>5</v>
      </c>
      <c r="D119" t="s">
        <v>71</v>
      </c>
    </row>
    <row r="120" spans="2:5" x14ac:dyDescent="0.3">
      <c r="C120">
        <v>6</v>
      </c>
      <c r="D120" t="s">
        <v>73</v>
      </c>
    </row>
    <row r="121" spans="2:5" x14ac:dyDescent="0.3">
      <c r="C121">
        <v>7</v>
      </c>
      <c r="D121" t="s">
        <v>74</v>
      </c>
    </row>
    <row r="122" spans="2:5" x14ac:dyDescent="0.3">
      <c r="C122">
        <v>8</v>
      </c>
      <c r="D122" t="s">
        <v>73</v>
      </c>
    </row>
    <row r="123" spans="2:5" x14ac:dyDescent="0.3">
      <c r="C123">
        <v>9</v>
      </c>
      <c r="D1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2026-08-20T12:37:17Z</dcterms:created>
  <dcterms:modified xsi:type="dcterms:W3CDTF">2026-08-20T13:18:26Z</dcterms:modified>
</cp:coreProperties>
</file>