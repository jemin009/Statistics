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emin\Downloads\"/>
    </mc:Choice>
  </mc:AlternateContent>
  <xr:revisionPtr revIDLastSave="0" documentId="13_ncr:1_{D5BEF83A-A9B3-45F6-ABA7-94EC44AC4722}" xr6:coauthVersionLast="47" xr6:coauthVersionMax="47" xr10:uidLastSave="{00000000-0000-0000-0000-000000000000}"/>
  <bookViews>
    <workbookView xWindow="-108" yWindow="-108" windowWidth="23256" windowHeight="12456" xr2:uid="{B72A3293-4DDB-4F4F-B5B8-C174C1F74B40}"/>
  </bookViews>
  <sheets>
    <sheet name="S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4" i="1" l="1"/>
  <c r="F64" i="1"/>
  <c r="E64" i="1"/>
  <c r="D64" i="1"/>
  <c r="C64" i="1"/>
  <c r="E42" i="1"/>
  <c r="E41" i="1"/>
  <c r="E40" i="1"/>
  <c r="E39" i="1"/>
  <c r="E38" i="1"/>
  <c r="E37" i="1"/>
  <c r="F29" i="1"/>
  <c r="E29" i="1"/>
  <c r="D29" i="1"/>
  <c r="C29" i="1"/>
  <c r="C20" i="1"/>
  <c r="C12" i="1"/>
  <c r="C4" i="1"/>
</calcChain>
</file>

<file path=xl/sharedStrings.xml><?xml version="1.0" encoding="utf-8"?>
<sst xmlns="http://schemas.openxmlformats.org/spreadsheetml/2006/main" count="36" uniqueCount="31">
  <si>
    <t>Calculate the Mean</t>
  </si>
  <si>
    <t>Value</t>
  </si>
  <si>
    <t>Mean</t>
  </si>
  <si>
    <t>Find the Median</t>
  </si>
  <si>
    <t>Median</t>
  </si>
  <si>
    <t>Find the Mode</t>
  </si>
  <si>
    <t>Mode</t>
  </si>
  <si>
    <t>Complete Statistical Analysis</t>
  </si>
  <si>
    <t>Range</t>
  </si>
  <si>
    <t>Var.p</t>
  </si>
  <si>
    <t>Stdev.p</t>
  </si>
  <si>
    <t xml:space="preserve">Frequency Distribution </t>
  </si>
  <si>
    <t>Marks</t>
  </si>
  <si>
    <t>Class Interval</t>
  </si>
  <si>
    <t>Frequency</t>
  </si>
  <si>
    <t>40–49</t>
  </si>
  <si>
    <t>50–59</t>
  </si>
  <si>
    <t>60–69</t>
  </si>
  <si>
    <t>70–79</t>
  </si>
  <si>
    <t>80–89</t>
  </si>
  <si>
    <t>90–99</t>
  </si>
  <si>
    <t>class interval (90-99) has the lowest frequency.</t>
  </si>
  <si>
    <t>class interval (40-49), (50-59), (60-69), (70-79) has the highest frequency.</t>
  </si>
  <si>
    <t xml:space="preserve">4 students </t>
  </si>
  <si>
    <t>Outlier Detection</t>
  </si>
  <si>
    <t>Q1</t>
  </si>
  <si>
    <t>Q3</t>
  </si>
  <si>
    <t>IQR</t>
  </si>
  <si>
    <t>Lower fence</t>
  </si>
  <si>
    <t>Upper Fence</t>
  </si>
  <si>
    <t>yes, 90 is outlier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</si>
</sst>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132CD-80A5-4DD3-94F3-E1A751DAC340}">
  <dimension ref="A2:G72"/>
  <sheetViews>
    <sheetView tabSelected="1" topLeftCell="A61" zoomScale="160" zoomScaleNormal="160" workbookViewId="0">
      <selection activeCell="G63" sqref="G63"/>
    </sheetView>
  </sheetViews>
  <sheetFormatPr defaultRowHeight="15.6" x14ac:dyDescent="0.3"/>
  <cols>
    <col min="1" max="3" width="8.88671875" style="1"/>
    <col min="4" max="4" width="14.21875" style="1" bestFit="1" customWidth="1"/>
    <col min="5" max="5" width="30.77734375" style="1" customWidth="1"/>
    <col min="6" max="6" width="12.109375" style="1" bestFit="1" customWidth="1"/>
    <col min="7" max="7" width="12.6640625" style="1" bestFit="1" customWidth="1"/>
    <col min="8" max="24" width="3" style="1" bestFit="1" customWidth="1"/>
    <col min="25" max="25" width="10.77734375" style="1" bestFit="1" customWidth="1"/>
    <col min="26" max="16384" width="8.88671875" style="1"/>
  </cols>
  <sheetData>
    <row r="2" spans="1:3" x14ac:dyDescent="0.3">
      <c r="A2" s="3">
        <v>2</v>
      </c>
      <c r="B2" s="4" t="s">
        <v>0</v>
      </c>
      <c r="C2" s="3"/>
    </row>
    <row r="3" spans="1:3" x14ac:dyDescent="0.3">
      <c r="A3" s="3"/>
      <c r="B3" s="5" t="s">
        <v>1</v>
      </c>
      <c r="C3" s="3" t="s">
        <v>2</v>
      </c>
    </row>
    <row r="4" spans="1:3" x14ac:dyDescent="0.3">
      <c r="A4" s="3"/>
      <c r="B4" s="6">
        <v>24</v>
      </c>
      <c r="C4" s="3">
        <f>AVERAGE(B4:B8)</f>
        <v>32</v>
      </c>
    </row>
    <row r="5" spans="1:3" x14ac:dyDescent="0.3">
      <c r="A5" s="3"/>
      <c r="B5" s="6">
        <v>28</v>
      </c>
      <c r="C5" s="3"/>
    </row>
    <row r="6" spans="1:3" x14ac:dyDescent="0.3">
      <c r="A6" s="3"/>
      <c r="B6" s="6">
        <v>32</v>
      </c>
      <c r="C6" s="3"/>
    </row>
    <row r="7" spans="1:3" x14ac:dyDescent="0.3">
      <c r="A7" s="3"/>
      <c r="B7" s="6">
        <v>36</v>
      </c>
      <c r="C7" s="3"/>
    </row>
    <row r="8" spans="1:3" x14ac:dyDescent="0.3">
      <c r="A8" s="3"/>
      <c r="B8" s="6">
        <v>40</v>
      </c>
      <c r="C8" s="3"/>
    </row>
    <row r="10" spans="1:3" x14ac:dyDescent="0.3">
      <c r="A10" s="3">
        <v>3</v>
      </c>
      <c r="B10" s="7" t="s">
        <v>3</v>
      </c>
      <c r="C10" s="3"/>
    </row>
    <row r="11" spans="1:3" x14ac:dyDescent="0.3">
      <c r="A11" s="3"/>
      <c r="B11" s="5" t="s">
        <v>1</v>
      </c>
      <c r="C11" s="3" t="s">
        <v>4</v>
      </c>
    </row>
    <row r="12" spans="1:3" x14ac:dyDescent="0.3">
      <c r="A12" s="3"/>
      <c r="B12" s="6">
        <v>39</v>
      </c>
      <c r="C12" s="3">
        <f>MEDIAN(B12:B16)</f>
        <v>39</v>
      </c>
    </row>
    <row r="13" spans="1:3" x14ac:dyDescent="0.3">
      <c r="A13" s="3"/>
      <c r="B13" s="6">
        <v>27</v>
      </c>
      <c r="C13" s="3"/>
    </row>
    <row r="14" spans="1:3" x14ac:dyDescent="0.3">
      <c r="A14" s="3"/>
      <c r="B14" s="6">
        <v>51</v>
      </c>
      <c r="C14" s="3"/>
    </row>
    <row r="15" spans="1:3" x14ac:dyDescent="0.3">
      <c r="A15" s="3"/>
      <c r="B15" s="6">
        <v>33</v>
      </c>
      <c r="C15" s="3"/>
    </row>
    <row r="16" spans="1:3" x14ac:dyDescent="0.3">
      <c r="A16" s="3"/>
      <c r="B16" s="6">
        <v>45</v>
      </c>
      <c r="C16" s="3"/>
    </row>
    <row r="18" spans="1:6" x14ac:dyDescent="0.3">
      <c r="A18" s="3">
        <v>4</v>
      </c>
      <c r="B18" s="4" t="s">
        <v>5</v>
      </c>
      <c r="C18" s="3"/>
    </row>
    <row r="19" spans="1:6" x14ac:dyDescent="0.3">
      <c r="A19" s="3"/>
      <c r="B19" s="5" t="s">
        <v>1</v>
      </c>
      <c r="C19" s="3" t="s">
        <v>6</v>
      </c>
    </row>
    <row r="20" spans="1:6" x14ac:dyDescent="0.3">
      <c r="A20" s="3"/>
      <c r="B20" s="6">
        <v>15</v>
      </c>
      <c r="C20" s="3">
        <f>_xlfn.MODE.SNGL(B20:B25)</f>
        <v>17</v>
      </c>
    </row>
    <row r="21" spans="1:6" x14ac:dyDescent="0.3">
      <c r="A21" s="3"/>
      <c r="B21" s="6">
        <v>17</v>
      </c>
      <c r="C21" s="3"/>
    </row>
    <row r="22" spans="1:6" x14ac:dyDescent="0.3">
      <c r="A22" s="3"/>
      <c r="B22" s="6">
        <v>17</v>
      </c>
      <c r="C22" s="3"/>
    </row>
    <row r="23" spans="1:6" x14ac:dyDescent="0.3">
      <c r="A23" s="3"/>
      <c r="B23" s="6">
        <v>19</v>
      </c>
      <c r="C23" s="3"/>
    </row>
    <row r="24" spans="1:6" x14ac:dyDescent="0.3">
      <c r="A24" s="3"/>
      <c r="B24" s="6">
        <v>21</v>
      </c>
      <c r="C24" s="3"/>
    </row>
    <row r="25" spans="1:6" x14ac:dyDescent="0.3">
      <c r="A25" s="3"/>
      <c r="B25" s="6">
        <v>23</v>
      </c>
      <c r="C25" s="3"/>
    </row>
    <row r="27" spans="1:6" x14ac:dyDescent="0.3">
      <c r="A27" s="3">
        <v>5</v>
      </c>
      <c r="B27" s="4" t="s">
        <v>7</v>
      </c>
      <c r="C27" s="3"/>
      <c r="D27" s="3"/>
      <c r="E27" s="3"/>
      <c r="F27" s="3"/>
    </row>
    <row r="28" spans="1:6" x14ac:dyDescent="0.3">
      <c r="A28" s="3"/>
      <c r="B28" s="5" t="s">
        <v>1</v>
      </c>
      <c r="C28" s="3" t="s">
        <v>2</v>
      </c>
      <c r="D28" s="3" t="s">
        <v>8</v>
      </c>
      <c r="E28" s="3" t="s">
        <v>9</v>
      </c>
      <c r="F28" s="3" t="s">
        <v>10</v>
      </c>
    </row>
    <row r="29" spans="1:6" x14ac:dyDescent="0.3">
      <c r="A29" s="3"/>
      <c r="B29" s="6">
        <v>18</v>
      </c>
      <c r="C29" s="3">
        <f>AVERAGE(B29:B33)</f>
        <v>30</v>
      </c>
      <c r="D29" s="3">
        <f>MAX(B29:B33)-MIN(B29:B33)</f>
        <v>24</v>
      </c>
      <c r="E29" s="3">
        <f>_xlfn.VAR.P(B29:B33)</f>
        <v>72</v>
      </c>
      <c r="F29" s="3">
        <f>_xlfn.STDEV.P(B29:B33)</f>
        <v>8.4852813742385695</v>
      </c>
    </row>
    <row r="30" spans="1:6" x14ac:dyDescent="0.3">
      <c r="A30" s="3"/>
      <c r="B30" s="6">
        <v>24</v>
      </c>
      <c r="C30" s="3"/>
      <c r="D30" s="3"/>
      <c r="E30" s="3"/>
      <c r="F30" s="3"/>
    </row>
    <row r="31" spans="1:6" x14ac:dyDescent="0.3">
      <c r="A31" s="3"/>
      <c r="B31" s="6">
        <v>30</v>
      </c>
      <c r="C31" s="3"/>
      <c r="D31" s="3"/>
      <c r="E31" s="3"/>
      <c r="F31" s="3"/>
    </row>
    <row r="32" spans="1:6" x14ac:dyDescent="0.3">
      <c r="A32" s="3"/>
      <c r="B32" s="6">
        <v>36</v>
      </c>
      <c r="C32" s="3"/>
      <c r="D32" s="3"/>
      <c r="E32" s="3"/>
      <c r="F32" s="3"/>
    </row>
    <row r="33" spans="1:6" x14ac:dyDescent="0.3">
      <c r="A33" s="3"/>
      <c r="B33" s="6">
        <v>42</v>
      </c>
      <c r="C33" s="3"/>
      <c r="D33" s="3"/>
      <c r="E33" s="3"/>
      <c r="F33" s="3"/>
    </row>
    <row r="35" spans="1:6" x14ac:dyDescent="0.3">
      <c r="A35" s="3">
        <v>6</v>
      </c>
      <c r="B35" s="4" t="s">
        <v>11</v>
      </c>
      <c r="C35" s="3"/>
    </row>
    <row r="36" spans="1:6" x14ac:dyDescent="0.3">
      <c r="A36" s="3"/>
      <c r="B36" s="5" t="s">
        <v>12</v>
      </c>
      <c r="C36" s="3"/>
      <c r="D36" s="5" t="s">
        <v>13</v>
      </c>
      <c r="E36" s="5" t="s">
        <v>14</v>
      </c>
    </row>
    <row r="37" spans="1:6" x14ac:dyDescent="0.3">
      <c r="A37" s="3"/>
      <c r="B37" s="6">
        <v>41</v>
      </c>
      <c r="C37" s="3"/>
      <c r="D37" s="6" t="s">
        <v>15</v>
      </c>
      <c r="E37" s="6">
        <f>COUNTIFS($B$37:$B$56,"&gt;=40",$B$37:$B$56,"&lt;=49")</f>
        <v>4</v>
      </c>
    </row>
    <row r="38" spans="1:6" x14ac:dyDescent="0.3">
      <c r="A38" s="3"/>
      <c r="B38" s="6">
        <v>45</v>
      </c>
      <c r="C38" s="3"/>
      <c r="D38" s="6" t="s">
        <v>16</v>
      </c>
      <c r="E38" s="6">
        <f>COUNTIFS($B$37:$B$56,"&gt;=50",$B$37:$B$56,"&lt;=59")</f>
        <v>4</v>
      </c>
    </row>
    <row r="39" spans="1:6" x14ac:dyDescent="0.3">
      <c r="A39" s="3"/>
      <c r="B39" s="6">
        <v>47</v>
      </c>
      <c r="C39" s="3"/>
      <c r="D39" s="6" t="s">
        <v>17</v>
      </c>
      <c r="E39" s="6">
        <f>COUNTIFS($B$37:$B$56,"&gt;=60",$B$37:$B$56,"&lt;=69")</f>
        <v>4</v>
      </c>
    </row>
    <row r="40" spans="1:6" x14ac:dyDescent="0.3">
      <c r="A40" s="3"/>
      <c r="B40" s="6">
        <v>49</v>
      </c>
      <c r="C40" s="3"/>
      <c r="D40" s="6" t="s">
        <v>18</v>
      </c>
      <c r="E40" s="6">
        <f>COUNTIFS($B$37:$B$56,"&gt;=70",$B$37:$B$56,"&lt;=79")</f>
        <v>4</v>
      </c>
    </row>
    <row r="41" spans="1:6" x14ac:dyDescent="0.3">
      <c r="A41" s="3"/>
      <c r="B41" s="6">
        <v>52</v>
      </c>
      <c r="C41" s="3"/>
      <c r="D41" s="6" t="s">
        <v>19</v>
      </c>
      <c r="E41" s="6">
        <f>COUNTIFS($B$37:$B$56,"&gt;=80",$B$37:$B$56,"&lt;=89")</f>
        <v>3</v>
      </c>
    </row>
    <row r="42" spans="1:6" x14ac:dyDescent="0.3">
      <c r="A42" s="3"/>
      <c r="B42" s="6">
        <v>55</v>
      </c>
      <c r="C42" s="3"/>
      <c r="D42" s="6" t="s">
        <v>20</v>
      </c>
      <c r="E42" s="6">
        <f>COUNTIFS($B$37:$B$56,"&gt;=90",$B$37:$B$56,"&lt;=99")</f>
        <v>1</v>
      </c>
    </row>
    <row r="43" spans="1:6" x14ac:dyDescent="0.3">
      <c r="A43" s="3"/>
      <c r="B43" s="6">
        <v>57</v>
      </c>
      <c r="C43" s="3"/>
    </row>
    <row r="44" spans="1:6" x14ac:dyDescent="0.3">
      <c r="A44" s="3"/>
      <c r="B44" s="6">
        <v>58</v>
      </c>
      <c r="C44" s="3"/>
    </row>
    <row r="45" spans="1:6" x14ac:dyDescent="0.3">
      <c r="A45" s="3"/>
      <c r="B45" s="6">
        <v>61</v>
      </c>
      <c r="C45" s="3"/>
    </row>
    <row r="46" spans="1:6" x14ac:dyDescent="0.3">
      <c r="A46" s="3"/>
      <c r="B46" s="6">
        <v>63</v>
      </c>
      <c r="C46" s="3"/>
    </row>
    <row r="47" spans="1:6" x14ac:dyDescent="0.3">
      <c r="A47" s="3"/>
      <c r="B47" s="6">
        <v>66</v>
      </c>
      <c r="C47" s="3"/>
    </row>
    <row r="48" spans="1:6" x14ac:dyDescent="0.3">
      <c r="A48" s="3"/>
      <c r="B48" s="6">
        <v>68</v>
      </c>
      <c r="C48" s="3"/>
    </row>
    <row r="49" spans="1:7" x14ac:dyDescent="0.3">
      <c r="A49" s="3"/>
      <c r="B49" s="6">
        <v>71</v>
      </c>
      <c r="C49" s="3"/>
    </row>
    <row r="50" spans="1:7" x14ac:dyDescent="0.3">
      <c r="A50" s="3"/>
      <c r="B50" s="6">
        <v>73</v>
      </c>
      <c r="C50" s="3"/>
    </row>
    <row r="51" spans="1:7" x14ac:dyDescent="0.3">
      <c r="A51" s="3"/>
      <c r="B51" s="6">
        <v>75</v>
      </c>
      <c r="C51" s="3"/>
    </row>
    <row r="52" spans="1:7" x14ac:dyDescent="0.3">
      <c r="A52" s="3"/>
      <c r="B52" s="6">
        <v>77</v>
      </c>
      <c r="C52" s="3"/>
    </row>
    <row r="53" spans="1:7" x14ac:dyDescent="0.3">
      <c r="A53" s="3"/>
      <c r="B53" s="6">
        <v>82</v>
      </c>
      <c r="C53" s="3"/>
    </row>
    <row r="54" spans="1:7" x14ac:dyDescent="0.3">
      <c r="A54" s="3"/>
      <c r="B54" s="6">
        <v>84</v>
      </c>
      <c r="C54" s="3"/>
    </row>
    <row r="55" spans="1:7" x14ac:dyDescent="0.3">
      <c r="A55" s="3"/>
      <c r="B55" s="6">
        <v>88</v>
      </c>
      <c r="C55" s="3"/>
    </row>
    <row r="56" spans="1:7" x14ac:dyDescent="0.3">
      <c r="A56" s="3"/>
      <c r="B56" s="6">
        <v>91</v>
      </c>
      <c r="C56" s="3"/>
    </row>
    <row r="58" spans="1:7" x14ac:dyDescent="0.3">
      <c r="A58" s="1">
        <v>7</v>
      </c>
      <c r="B58" s="1">
        <v>1</v>
      </c>
      <c r="C58" s="2" t="s">
        <v>22</v>
      </c>
    </row>
    <row r="59" spans="1:7" x14ac:dyDescent="0.3">
      <c r="B59" s="1">
        <v>2</v>
      </c>
      <c r="C59" s="2" t="s">
        <v>21</v>
      </c>
    </row>
    <row r="60" spans="1:7" x14ac:dyDescent="0.3">
      <c r="B60" s="1">
        <v>3</v>
      </c>
      <c r="C60" s="2" t="s">
        <v>23</v>
      </c>
    </row>
    <row r="62" spans="1:7" x14ac:dyDescent="0.3">
      <c r="A62" s="3">
        <v>8</v>
      </c>
      <c r="B62" s="4" t="s">
        <v>24</v>
      </c>
      <c r="C62" s="3"/>
      <c r="D62" s="3"/>
      <c r="E62" s="3"/>
      <c r="F62" s="3"/>
      <c r="G62" s="3"/>
    </row>
    <row r="63" spans="1:7" x14ac:dyDescent="0.3">
      <c r="A63" s="3"/>
      <c r="B63" s="5" t="s">
        <v>1</v>
      </c>
      <c r="C63" s="3" t="s">
        <v>25</v>
      </c>
      <c r="D63" s="3" t="s">
        <v>26</v>
      </c>
      <c r="E63" s="3" t="s">
        <v>27</v>
      </c>
      <c r="F63" s="3" t="s">
        <v>28</v>
      </c>
      <c r="G63" s="3" t="s">
        <v>29</v>
      </c>
    </row>
    <row r="64" spans="1:7" x14ac:dyDescent="0.3">
      <c r="A64" s="3"/>
      <c r="B64" s="6">
        <v>25</v>
      </c>
      <c r="C64" s="3">
        <f>_xlfn.QUARTILE.INC(B64:B72,1)</f>
        <v>29</v>
      </c>
      <c r="D64" s="3">
        <f>_xlfn.QUARTILE.INC(B64:B72,3)</f>
        <v>37</v>
      </c>
      <c r="E64" s="3">
        <f>D64-C64</f>
        <v>8</v>
      </c>
      <c r="F64" s="3">
        <f>C64-(1.5*E64)</f>
        <v>17</v>
      </c>
      <c r="G64" s="3">
        <f>D64+(1.5*E64)</f>
        <v>49</v>
      </c>
    </row>
    <row r="65" spans="1:7" x14ac:dyDescent="0.3">
      <c r="A65" s="3"/>
      <c r="B65" s="6">
        <v>27</v>
      </c>
      <c r="C65" s="3"/>
      <c r="D65" s="3"/>
      <c r="E65" s="3"/>
      <c r="F65" s="3"/>
      <c r="G65" s="3"/>
    </row>
    <row r="66" spans="1:7" x14ac:dyDescent="0.3">
      <c r="A66" s="3"/>
      <c r="B66" s="6">
        <v>29</v>
      </c>
      <c r="C66" s="3"/>
      <c r="D66" s="3"/>
      <c r="E66" s="3"/>
      <c r="F66" s="3"/>
      <c r="G66" s="3"/>
    </row>
    <row r="67" spans="1:7" x14ac:dyDescent="0.3">
      <c r="A67" s="3"/>
      <c r="B67" s="6">
        <v>31</v>
      </c>
      <c r="C67" s="3"/>
      <c r="D67" s="8" t="s">
        <v>30</v>
      </c>
      <c r="E67" s="3"/>
      <c r="F67" s="3"/>
      <c r="G67" s="3"/>
    </row>
    <row r="68" spans="1:7" x14ac:dyDescent="0.3">
      <c r="A68" s="3"/>
      <c r="B68" s="6">
        <v>33</v>
      </c>
      <c r="C68" s="3"/>
      <c r="D68" s="3"/>
      <c r="E68" s="3"/>
      <c r="F68" s="3"/>
      <c r="G68" s="3"/>
    </row>
    <row r="69" spans="1:7" x14ac:dyDescent="0.3">
      <c r="A69" s="3"/>
      <c r="B69" s="6">
        <v>35</v>
      </c>
      <c r="C69" s="3"/>
      <c r="D69" s="3"/>
      <c r="E69" s="3"/>
      <c r="F69" s="3"/>
      <c r="G69" s="3"/>
    </row>
    <row r="70" spans="1:7" x14ac:dyDescent="0.3">
      <c r="A70" s="3"/>
      <c r="B70" s="6">
        <v>37</v>
      </c>
      <c r="C70" s="3"/>
      <c r="D70" s="3"/>
      <c r="E70" s="3"/>
      <c r="F70" s="3"/>
      <c r="G70" s="3"/>
    </row>
    <row r="71" spans="1:7" x14ac:dyDescent="0.3">
      <c r="A71" s="3"/>
      <c r="B71" s="6">
        <v>39</v>
      </c>
      <c r="C71" s="3"/>
      <c r="D71" s="3"/>
      <c r="E71" s="3"/>
      <c r="F71" s="3"/>
      <c r="G71" s="3"/>
    </row>
    <row r="72" spans="1:7" x14ac:dyDescent="0.3">
      <c r="A72" s="3"/>
      <c r="B72" s="6">
        <v>90</v>
      </c>
      <c r="C72" s="3"/>
      <c r="D72" s="3"/>
      <c r="E72" s="3"/>
      <c r="F72" s="3"/>
      <c r="G7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Jemin Ramani</dc:creator>
  <cp:lastModifiedBy>Jemin Ramani</cp:lastModifiedBy>
  <dcterms:created xsi:type="dcterms:W3CDTF">2026-08-05T12:10:02Z</dcterms:created>
  <dcterms:modified xsi:type="dcterms:W3CDTF">2026-08-05T13:41:21Z</dcterms:modified>
</cp:coreProperties>
</file>