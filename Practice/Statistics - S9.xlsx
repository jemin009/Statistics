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min\Downloads\"/>
    </mc:Choice>
  </mc:AlternateContent>
  <xr:revisionPtr revIDLastSave="0" documentId="13_ncr:1_{62BFD5CF-E777-4C5B-BBFB-C5764DA2883E}" xr6:coauthVersionLast="47" xr6:coauthVersionMax="47" xr10:uidLastSave="{00000000-0000-0000-0000-000000000000}"/>
  <bookViews>
    <workbookView xWindow="-108" yWindow="-108" windowWidth="23256" windowHeight="12456" xr2:uid="{879D09D4-EA5E-4025-9BA5-7466A96934E1}"/>
  </bookViews>
  <sheets>
    <sheet name="S9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3" i="1" l="1"/>
  <c r="F63" i="1"/>
  <c r="G62" i="1"/>
  <c r="F62" i="1"/>
  <c r="G61" i="1"/>
  <c r="F61" i="1"/>
  <c r="G49" i="1"/>
  <c r="F49" i="1"/>
  <c r="E49" i="1"/>
  <c r="D49" i="1"/>
  <c r="C49" i="1"/>
  <c r="F37" i="1"/>
  <c r="E37" i="1"/>
  <c r="D37" i="1"/>
  <c r="C37" i="1"/>
  <c r="F29" i="1"/>
  <c r="E29" i="1"/>
  <c r="D29" i="1"/>
  <c r="C29" i="1"/>
  <c r="C20" i="1"/>
  <c r="C12" i="1"/>
  <c r="C4" i="1"/>
</calcChain>
</file>

<file path=xl/sharedStrings.xml><?xml version="1.0" encoding="utf-8"?>
<sst xmlns="http://schemas.openxmlformats.org/spreadsheetml/2006/main" count="39" uniqueCount="27">
  <si>
    <t>Calculate the Mean</t>
  </si>
  <si>
    <t>Value</t>
  </si>
  <si>
    <t>Mean</t>
  </si>
  <si>
    <t>Find the Median</t>
  </si>
  <si>
    <t>Median</t>
  </si>
  <si>
    <t>Find the Mode</t>
  </si>
  <si>
    <t>Mode</t>
  </si>
  <si>
    <t>Calculate All Measures</t>
  </si>
  <si>
    <t>Range</t>
  </si>
  <si>
    <t>var.p</t>
  </si>
  <si>
    <t>stdev.p</t>
  </si>
  <si>
    <t>Quartiles &amp; IQR</t>
  </si>
  <si>
    <t>Q1</t>
  </si>
  <si>
    <t>Q2</t>
  </si>
  <si>
    <t>Q3</t>
  </si>
  <si>
    <t>IQR</t>
  </si>
  <si>
    <t>Outlier Detection</t>
  </si>
  <si>
    <t>Lower Fence</t>
  </si>
  <si>
    <t>Upper Fence</t>
  </si>
  <si>
    <t>Yes, 80 is outlier because of it is out of range</t>
  </si>
  <si>
    <t>Interpretation</t>
  </si>
  <si>
    <t>Store A</t>
  </si>
  <si>
    <t>Store B</t>
  </si>
  <si>
    <t>Var</t>
  </si>
  <si>
    <t>Stdev</t>
  </si>
  <si>
    <t xml:space="preserve">Store A is more consistent </t>
  </si>
  <si>
    <t>I use standard devaiation to compare consistency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</si>
</sst>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A3DF4-DF03-4566-976B-D7EADE8BF299}">
  <dimension ref="A2:I66"/>
  <sheetViews>
    <sheetView tabSelected="1" topLeftCell="A55" zoomScale="145" zoomScaleNormal="145" workbookViewId="0">
      <selection activeCell="D70" sqref="D70"/>
    </sheetView>
  </sheetViews>
  <sheetFormatPr defaultRowHeight="15.6" x14ac:dyDescent="0.3"/>
  <cols>
    <col min="1" max="5" width="8.88671875" style="1"/>
    <col min="6" max="6" width="12.44140625" style="1" bestFit="1" customWidth="1"/>
    <col min="7" max="7" width="12.6640625" style="1" bestFit="1" customWidth="1"/>
    <col min="8" max="16384" width="8.88671875" style="1"/>
  </cols>
  <sheetData>
    <row r="2" spans="1:3" x14ac:dyDescent="0.3">
      <c r="A2" s="2">
        <v>2</v>
      </c>
      <c r="B2" s="5" t="s">
        <v>0</v>
      </c>
      <c r="C2" s="2"/>
    </row>
    <row r="3" spans="1:3" x14ac:dyDescent="0.3">
      <c r="A3" s="2"/>
      <c r="B3" s="3" t="s">
        <v>1</v>
      </c>
      <c r="C3" s="2" t="s">
        <v>2</v>
      </c>
    </row>
    <row r="4" spans="1:3" x14ac:dyDescent="0.3">
      <c r="A4" s="2"/>
      <c r="B4" s="4">
        <v>25</v>
      </c>
      <c r="C4" s="2">
        <f>AVERAGE(B4:B8)</f>
        <v>35</v>
      </c>
    </row>
    <row r="5" spans="1:3" x14ac:dyDescent="0.3">
      <c r="A5" s="2"/>
      <c r="B5" s="4">
        <v>30</v>
      </c>
      <c r="C5" s="2"/>
    </row>
    <row r="6" spans="1:3" x14ac:dyDescent="0.3">
      <c r="A6" s="2"/>
      <c r="B6" s="4">
        <v>35</v>
      </c>
      <c r="C6" s="2"/>
    </row>
    <row r="7" spans="1:3" x14ac:dyDescent="0.3">
      <c r="A7" s="2"/>
      <c r="B7" s="4">
        <v>40</v>
      </c>
      <c r="C7" s="2"/>
    </row>
    <row r="8" spans="1:3" x14ac:dyDescent="0.3">
      <c r="A8" s="2"/>
      <c r="B8" s="4">
        <v>45</v>
      </c>
      <c r="C8" s="2"/>
    </row>
    <row r="10" spans="1:3" x14ac:dyDescent="0.3">
      <c r="A10" s="2">
        <v>3</v>
      </c>
      <c r="B10" s="5" t="s">
        <v>3</v>
      </c>
      <c r="C10" s="2"/>
    </row>
    <row r="11" spans="1:3" x14ac:dyDescent="0.3">
      <c r="A11" s="2"/>
      <c r="B11" s="3" t="s">
        <v>1</v>
      </c>
      <c r="C11" s="2" t="s">
        <v>4</v>
      </c>
    </row>
    <row r="12" spans="1:3" x14ac:dyDescent="0.3">
      <c r="A12" s="2"/>
      <c r="B12" s="4">
        <v>48</v>
      </c>
      <c r="C12" s="2">
        <f>MEDIAN(B12:B16)</f>
        <v>36</v>
      </c>
    </row>
    <row r="13" spans="1:3" x14ac:dyDescent="0.3">
      <c r="A13" s="2"/>
      <c r="B13" s="4">
        <v>24</v>
      </c>
      <c r="C13" s="2"/>
    </row>
    <row r="14" spans="1:3" x14ac:dyDescent="0.3">
      <c r="A14" s="2"/>
      <c r="B14" s="4">
        <v>36</v>
      </c>
      <c r="C14" s="2"/>
    </row>
    <row r="15" spans="1:3" x14ac:dyDescent="0.3">
      <c r="A15" s="2"/>
      <c r="B15" s="4">
        <v>30</v>
      </c>
      <c r="C15" s="2"/>
    </row>
    <row r="16" spans="1:3" x14ac:dyDescent="0.3">
      <c r="A16" s="2"/>
      <c r="B16" s="4">
        <v>42</v>
      </c>
      <c r="C16" s="2"/>
    </row>
    <row r="18" spans="1:6" x14ac:dyDescent="0.3">
      <c r="A18" s="2">
        <v>4</v>
      </c>
      <c r="B18" s="5" t="s">
        <v>5</v>
      </c>
      <c r="C18" s="2"/>
    </row>
    <row r="19" spans="1:6" x14ac:dyDescent="0.3">
      <c r="A19" s="2"/>
      <c r="B19" s="3" t="s">
        <v>1</v>
      </c>
      <c r="C19" s="2" t="s">
        <v>6</v>
      </c>
    </row>
    <row r="20" spans="1:6" x14ac:dyDescent="0.3">
      <c r="A20" s="2"/>
      <c r="B20" s="4">
        <v>11</v>
      </c>
      <c r="C20" s="2">
        <f>_xlfn.MODE.SNGL(B20:B25)</f>
        <v>13</v>
      </c>
    </row>
    <row r="21" spans="1:6" x14ac:dyDescent="0.3">
      <c r="A21" s="2"/>
      <c r="B21" s="4">
        <v>13</v>
      </c>
      <c r="C21" s="2"/>
    </row>
    <row r="22" spans="1:6" x14ac:dyDescent="0.3">
      <c r="A22" s="2"/>
      <c r="B22" s="4">
        <v>13</v>
      </c>
      <c r="C22" s="2"/>
    </row>
    <row r="23" spans="1:6" x14ac:dyDescent="0.3">
      <c r="A23" s="2"/>
      <c r="B23" s="4">
        <v>15</v>
      </c>
      <c r="C23" s="2"/>
    </row>
    <row r="24" spans="1:6" x14ac:dyDescent="0.3">
      <c r="A24" s="2"/>
      <c r="B24" s="4">
        <v>17</v>
      </c>
      <c r="C24" s="2"/>
    </row>
    <row r="25" spans="1:6" x14ac:dyDescent="0.3">
      <c r="A25" s="2"/>
      <c r="B25" s="4">
        <v>19</v>
      </c>
      <c r="C25" s="2"/>
    </row>
    <row r="27" spans="1:6" x14ac:dyDescent="0.3">
      <c r="A27" s="2">
        <v>5</v>
      </c>
      <c r="B27" s="5" t="s">
        <v>7</v>
      </c>
      <c r="C27" s="2"/>
      <c r="D27" s="2"/>
      <c r="E27" s="2"/>
      <c r="F27" s="2"/>
    </row>
    <row r="28" spans="1:6" x14ac:dyDescent="0.3">
      <c r="A28" s="2"/>
      <c r="B28" s="3" t="s">
        <v>1</v>
      </c>
      <c r="C28" s="2" t="s">
        <v>2</v>
      </c>
      <c r="D28" s="2" t="s">
        <v>8</v>
      </c>
      <c r="E28" s="2" t="s">
        <v>9</v>
      </c>
      <c r="F28" s="2" t="s">
        <v>10</v>
      </c>
    </row>
    <row r="29" spans="1:6" x14ac:dyDescent="0.3">
      <c r="A29" s="2"/>
      <c r="B29" s="4">
        <v>12</v>
      </c>
      <c r="C29" s="2">
        <f>AVERAGE(B29:B33)</f>
        <v>24</v>
      </c>
      <c r="D29" s="2">
        <f>MAX(B29:B33)-MIN(B29:B33)</f>
        <v>24</v>
      </c>
      <c r="E29" s="2">
        <f>_xlfn.VAR.P(B29:B33)</f>
        <v>72</v>
      </c>
      <c r="F29" s="2">
        <f>_xlfn.STDEV.P(B29:B33)</f>
        <v>8.4852813742385695</v>
      </c>
    </row>
    <row r="30" spans="1:6" x14ac:dyDescent="0.3">
      <c r="A30" s="2"/>
      <c r="B30" s="4">
        <v>18</v>
      </c>
      <c r="C30" s="2"/>
      <c r="D30" s="2"/>
      <c r="E30" s="2"/>
      <c r="F30" s="2"/>
    </row>
    <row r="31" spans="1:6" x14ac:dyDescent="0.3">
      <c r="A31" s="2"/>
      <c r="B31" s="4">
        <v>24</v>
      </c>
      <c r="C31" s="2"/>
      <c r="D31" s="2"/>
      <c r="E31" s="2"/>
      <c r="F31" s="2"/>
    </row>
    <row r="32" spans="1:6" x14ac:dyDescent="0.3">
      <c r="A32" s="2"/>
      <c r="B32" s="4">
        <v>30</v>
      </c>
      <c r="C32" s="2"/>
      <c r="D32" s="2"/>
      <c r="E32" s="2"/>
      <c r="F32" s="2"/>
    </row>
    <row r="33" spans="1:9" x14ac:dyDescent="0.3">
      <c r="A33" s="2"/>
      <c r="B33" s="4">
        <v>36</v>
      </c>
      <c r="C33" s="2"/>
      <c r="D33" s="2"/>
      <c r="E33" s="2"/>
      <c r="F33" s="2"/>
    </row>
    <row r="35" spans="1:9" x14ac:dyDescent="0.3">
      <c r="A35" s="2">
        <v>6</v>
      </c>
      <c r="B35" s="5" t="s">
        <v>11</v>
      </c>
      <c r="C35" s="2"/>
      <c r="D35" s="2"/>
      <c r="E35" s="2"/>
      <c r="F35" s="2"/>
    </row>
    <row r="36" spans="1:9" x14ac:dyDescent="0.3">
      <c r="A36" s="2"/>
      <c r="B36" s="3" t="s">
        <v>1</v>
      </c>
      <c r="C36" s="2" t="s">
        <v>12</v>
      </c>
      <c r="D36" s="2" t="s">
        <v>13</v>
      </c>
      <c r="E36" s="2" t="s">
        <v>14</v>
      </c>
      <c r="F36" s="2" t="s">
        <v>15</v>
      </c>
    </row>
    <row r="37" spans="1:9" x14ac:dyDescent="0.3">
      <c r="A37" s="2"/>
      <c r="B37" s="4">
        <v>6</v>
      </c>
      <c r="C37" s="2">
        <f>_xlfn.QUARTILE.INC($B$37:$B$45,1)</f>
        <v>10</v>
      </c>
      <c r="D37" s="2">
        <f>_xlfn.QUARTILE.INC($B$37:$B$45,2)</f>
        <v>14</v>
      </c>
      <c r="E37" s="2">
        <f>_xlfn.QUARTILE.INC($B$37:$B$45,3)</f>
        <v>18</v>
      </c>
      <c r="F37" s="2">
        <f>E37-C37</f>
        <v>8</v>
      </c>
    </row>
    <row r="38" spans="1:9" x14ac:dyDescent="0.3">
      <c r="A38" s="2"/>
      <c r="B38" s="4">
        <v>8</v>
      </c>
      <c r="C38" s="2"/>
      <c r="D38" s="2"/>
      <c r="E38" s="2"/>
      <c r="F38" s="2"/>
    </row>
    <row r="39" spans="1:9" x14ac:dyDescent="0.3">
      <c r="A39" s="2"/>
      <c r="B39" s="4">
        <v>10</v>
      </c>
      <c r="C39" s="2"/>
      <c r="D39" s="2"/>
      <c r="E39" s="2"/>
      <c r="F39" s="2"/>
    </row>
    <row r="40" spans="1:9" x14ac:dyDescent="0.3">
      <c r="A40" s="2"/>
      <c r="B40" s="4">
        <v>12</v>
      </c>
      <c r="C40" s="2"/>
      <c r="D40" s="2"/>
      <c r="E40" s="2"/>
      <c r="F40" s="2"/>
    </row>
    <row r="41" spans="1:9" x14ac:dyDescent="0.3">
      <c r="A41" s="2"/>
      <c r="B41" s="4">
        <v>14</v>
      </c>
      <c r="C41" s="2"/>
      <c r="D41" s="2"/>
      <c r="E41" s="2"/>
      <c r="F41" s="2"/>
    </row>
    <row r="42" spans="1:9" x14ac:dyDescent="0.3">
      <c r="A42" s="2"/>
      <c r="B42" s="4">
        <v>16</v>
      </c>
      <c r="C42" s="2"/>
      <c r="D42" s="2"/>
      <c r="E42" s="2"/>
      <c r="F42" s="2"/>
    </row>
    <row r="43" spans="1:9" x14ac:dyDescent="0.3">
      <c r="A43" s="2"/>
      <c r="B43" s="4">
        <v>18</v>
      </c>
      <c r="C43" s="2"/>
      <c r="D43" s="2"/>
      <c r="E43" s="2"/>
      <c r="F43" s="2"/>
    </row>
    <row r="44" spans="1:9" x14ac:dyDescent="0.3">
      <c r="A44" s="2"/>
      <c r="B44" s="4">
        <v>20</v>
      </c>
      <c r="C44" s="2"/>
      <c r="D44" s="2"/>
      <c r="E44" s="2"/>
      <c r="F44" s="2"/>
    </row>
    <row r="45" spans="1:9" x14ac:dyDescent="0.3">
      <c r="A45" s="2"/>
      <c r="B45" s="4">
        <v>22</v>
      </c>
      <c r="C45" s="2"/>
      <c r="D45" s="2"/>
      <c r="E45" s="2"/>
      <c r="F45" s="2"/>
    </row>
    <row r="47" spans="1:9" x14ac:dyDescent="0.3">
      <c r="A47" s="2">
        <v>7</v>
      </c>
      <c r="B47" s="5" t="s">
        <v>16</v>
      </c>
      <c r="C47" s="2"/>
      <c r="D47" s="2"/>
      <c r="E47" s="2"/>
      <c r="F47" s="2"/>
      <c r="G47" s="2"/>
      <c r="H47" s="2"/>
      <c r="I47" s="2"/>
    </row>
    <row r="48" spans="1:9" x14ac:dyDescent="0.3">
      <c r="A48" s="2"/>
      <c r="B48" s="3" t="s">
        <v>1</v>
      </c>
      <c r="C48" s="2" t="s">
        <v>12</v>
      </c>
      <c r="D48" s="2" t="s">
        <v>14</v>
      </c>
      <c r="E48" s="2" t="s">
        <v>15</v>
      </c>
      <c r="F48" s="2" t="s">
        <v>17</v>
      </c>
      <c r="G48" s="2" t="s">
        <v>18</v>
      </c>
      <c r="H48" s="2"/>
      <c r="I48" s="2"/>
    </row>
    <row r="49" spans="1:9" x14ac:dyDescent="0.3">
      <c r="A49" s="2"/>
      <c r="B49" s="4">
        <v>18</v>
      </c>
      <c r="C49" s="2">
        <f>_xlfn.QUARTILE.INC($B$49:$B$57,1)</f>
        <v>22</v>
      </c>
      <c r="D49" s="2">
        <f>_xlfn.QUARTILE.INC($B$49:$B$57,3)</f>
        <v>30</v>
      </c>
      <c r="E49" s="2">
        <f>D49-C49</f>
        <v>8</v>
      </c>
      <c r="F49" s="2">
        <f>C49-(1.5*E49)</f>
        <v>10</v>
      </c>
      <c r="G49" s="2">
        <f>D49+(1.5*E49)</f>
        <v>42</v>
      </c>
      <c r="H49" s="2"/>
      <c r="I49" s="2"/>
    </row>
    <row r="50" spans="1:9" x14ac:dyDescent="0.3">
      <c r="A50" s="2"/>
      <c r="B50" s="4">
        <v>20</v>
      </c>
      <c r="C50" s="2"/>
      <c r="D50" s="2"/>
      <c r="E50" s="2"/>
      <c r="F50" s="2"/>
      <c r="G50" s="2"/>
      <c r="H50" s="2"/>
      <c r="I50" s="2"/>
    </row>
    <row r="51" spans="1:9" x14ac:dyDescent="0.3">
      <c r="A51" s="2"/>
      <c r="B51" s="4">
        <v>22</v>
      </c>
      <c r="C51" s="2"/>
      <c r="D51" s="2"/>
      <c r="E51" s="2"/>
      <c r="F51" s="6" t="s">
        <v>19</v>
      </c>
      <c r="G51" s="2"/>
      <c r="H51" s="2"/>
      <c r="I51" s="2"/>
    </row>
    <row r="52" spans="1:9" x14ac:dyDescent="0.3">
      <c r="A52" s="2"/>
      <c r="B52" s="4">
        <v>24</v>
      </c>
      <c r="C52" s="2"/>
      <c r="D52" s="2"/>
      <c r="E52" s="2"/>
      <c r="F52" s="2"/>
      <c r="G52" s="2"/>
      <c r="H52" s="2"/>
      <c r="I52" s="2"/>
    </row>
    <row r="53" spans="1:9" x14ac:dyDescent="0.3">
      <c r="A53" s="2"/>
      <c r="B53" s="4">
        <v>26</v>
      </c>
      <c r="C53" s="2"/>
      <c r="D53" s="2"/>
      <c r="E53" s="2"/>
      <c r="F53" s="2"/>
      <c r="G53" s="2"/>
      <c r="H53" s="2"/>
      <c r="I53" s="2"/>
    </row>
    <row r="54" spans="1:9" x14ac:dyDescent="0.3">
      <c r="A54" s="2"/>
      <c r="B54" s="4">
        <v>28</v>
      </c>
      <c r="C54" s="2"/>
      <c r="D54" s="2"/>
      <c r="E54" s="2"/>
      <c r="F54" s="2"/>
      <c r="G54" s="2"/>
      <c r="H54" s="2"/>
      <c r="I54" s="2"/>
    </row>
    <row r="55" spans="1:9" x14ac:dyDescent="0.3">
      <c r="A55" s="2"/>
      <c r="B55" s="4">
        <v>30</v>
      </c>
      <c r="C55" s="2"/>
      <c r="D55" s="2"/>
      <c r="E55" s="2"/>
      <c r="F55" s="2"/>
      <c r="G55" s="2"/>
      <c r="H55" s="2"/>
      <c r="I55" s="2"/>
    </row>
    <row r="56" spans="1:9" x14ac:dyDescent="0.3">
      <c r="A56" s="2"/>
      <c r="B56" s="4">
        <v>32</v>
      </c>
      <c r="C56" s="2"/>
      <c r="D56" s="2"/>
      <c r="E56" s="2"/>
      <c r="F56" s="2"/>
      <c r="G56" s="2"/>
      <c r="H56" s="2"/>
      <c r="I56" s="2"/>
    </row>
    <row r="57" spans="1:9" x14ac:dyDescent="0.3">
      <c r="A57" s="2"/>
      <c r="B57" s="4">
        <v>80</v>
      </c>
      <c r="C57" s="2"/>
      <c r="D57" s="2"/>
      <c r="E57" s="2"/>
      <c r="F57" s="2"/>
      <c r="G57" s="2"/>
      <c r="H57" s="2"/>
      <c r="I57" s="2"/>
    </row>
    <row r="59" spans="1:9" x14ac:dyDescent="0.3">
      <c r="A59" s="2">
        <v>8</v>
      </c>
      <c r="B59" s="5" t="s">
        <v>20</v>
      </c>
      <c r="C59" s="2"/>
      <c r="D59" s="2"/>
      <c r="E59" s="2"/>
      <c r="F59" s="2"/>
      <c r="G59" s="2"/>
      <c r="H59" s="2"/>
      <c r="I59" s="2"/>
    </row>
    <row r="60" spans="1:9" x14ac:dyDescent="0.3">
      <c r="A60" s="2"/>
      <c r="B60" s="7" t="s">
        <v>21</v>
      </c>
      <c r="C60" s="7" t="s">
        <v>22</v>
      </c>
      <c r="D60" s="2"/>
      <c r="E60" s="2"/>
      <c r="F60" s="7" t="s">
        <v>21</v>
      </c>
      <c r="G60" s="7" t="s">
        <v>22</v>
      </c>
      <c r="H60" s="2"/>
      <c r="I60" s="2"/>
    </row>
    <row r="61" spans="1:9" x14ac:dyDescent="0.3">
      <c r="A61" s="2"/>
      <c r="B61" s="4">
        <v>98</v>
      </c>
      <c r="C61" s="4">
        <v>50</v>
      </c>
      <c r="D61" s="2"/>
      <c r="E61" s="7" t="s">
        <v>8</v>
      </c>
      <c r="F61" s="2">
        <f>MAX(B61:B65)-MIN(B61:B65)</f>
        <v>4</v>
      </c>
      <c r="G61" s="2">
        <f>MAX(C61:C65)-MIN(C61:C65)</f>
        <v>100</v>
      </c>
      <c r="H61" s="2"/>
      <c r="I61" s="2"/>
    </row>
    <row r="62" spans="1:9" x14ac:dyDescent="0.3">
      <c r="A62" s="2"/>
      <c r="B62" s="4">
        <v>100</v>
      </c>
      <c r="C62" s="4">
        <v>75</v>
      </c>
      <c r="D62" s="2"/>
      <c r="E62" s="7" t="s">
        <v>23</v>
      </c>
      <c r="F62" s="2">
        <f>_xlfn.VAR.P(B61:B65)</f>
        <v>2</v>
      </c>
      <c r="G62" s="2">
        <f>_xlfn.VAR.P(C61:C65)</f>
        <v>1250</v>
      </c>
      <c r="H62" s="2"/>
      <c r="I62" s="2"/>
    </row>
    <row r="63" spans="1:9" x14ac:dyDescent="0.3">
      <c r="A63" s="2"/>
      <c r="B63" s="4">
        <v>101</v>
      </c>
      <c r="C63" s="4">
        <v>100</v>
      </c>
      <c r="D63" s="2"/>
      <c r="E63" s="2" t="s">
        <v>24</v>
      </c>
      <c r="F63" s="2">
        <f>_xlfn.STDEV.P(B61:B65)</f>
        <v>1.4142135623730951</v>
      </c>
      <c r="G63" s="2">
        <f>_xlfn.STDEV.P(C61:C65)</f>
        <v>35.355339059327378</v>
      </c>
      <c r="H63" s="2"/>
      <c r="I63" s="2"/>
    </row>
    <row r="64" spans="1:9" x14ac:dyDescent="0.3">
      <c r="A64" s="2"/>
      <c r="B64" s="4">
        <v>99</v>
      </c>
      <c r="C64" s="4">
        <v>125</v>
      </c>
      <c r="D64" s="2"/>
      <c r="E64" s="2"/>
      <c r="F64" s="2"/>
      <c r="G64" s="2"/>
      <c r="H64" s="2"/>
      <c r="I64" s="2"/>
    </row>
    <row r="65" spans="1:9" x14ac:dyDescent="0.3">
      <c r="A65" s="2"/>
      <c r="B65" s="4">
        <v>102</v>
      </c>
      <c r="C65" s="4">
        <v>150</v>
      </c>
      <c r="D65" s="2"/>
      <c r="E65" s="6" t="s">
        <v>25</v>
      </c>
      <c r="F65" s="2"/>
      <c r="G65" s="2"/>
      <c r="H65" s="2"/>
      <c r="I65" s="2"/>
    </row>
    <row r="66" spans="1:9" x14ac:dyDescent="0.3">
      <c r="A66" s="2"/>
      <c r="B66" s="2"/>
      <c r="C66" s="2"/>
      <c r="D66" s="2"/>
      <c r="E66" s="6" t="s">
        <v>26</v>
      </c>
      <c r="F66" s="2"/>
      <c r="G66" s="2"/>
      <c r="H66" s="2"/>
      <c r="I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Jemin Ramani</dc:creator>
  <cp:lastModifiedBy>Jemin Ramani</cp:lastModifiedBy>
  <dcterms:created xsi:type="dcterms:W3CDTF">2026-08-04T04:08:14Z</dcterms:created>
  <dcterms:modified xsi:type="dcterms:W3CDTF">2026-08-04T04:25:12Z</dcterms:modified>
</cp:coreProperties>
</file>