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EBA8096B-C559-4FF7-8C68-7F68CE21817A}" xr6:coauthVersionLast="47" xr6:coauthVersionMax="47" xr10:uidLastSave="{00000000-0000-0000-0000-000000000000}"/>
  <bookViews>
    <workbookView xWindow="-108" yWindow="-108" windowWidth="23256" windowHeight="12456" xr2:uid="{761D1270-85A1-4E44-8104-0BD9E95389FB}"/>
  </bookViews>
  <sheets>
    <sheet name="S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0" i="1" l="1"/>
  <c r="D119" i="1"/>
  <c r="D98" i="1"/>
  <c r="C98" i="1"/>
  <c r="D80" i="1"/>
  <c r="D79" i="1"/>
  <c r="D78" i="1"/>
  <c r="F64" i="1"/>
  <c r="F63" i="1"/>
  <c r="F62" i="1"/>
  <c r="F61" i="1"/>
  <c r="F60" i="1"/>
  <c r="I54" i="1"/>
  <c r="H54" i="1"/>
  <c r="I51" i="1"/>
  <c r="H51" i="1"/>
  <c r="I50" i="1"/>
  <c r="H50" i="1"/>
  <c r="F41" i="1"/>
  <c r="F40" i="1"/>
  <c r="H33" i="1"/>
  <c r="G33" i="1"/>
  <c r="H32" i="1"/>
  <c r="G32" i="1"/>
  <c r="H31" i="1"/>
  <c r="G31" i="1"/>
  <c r="H30" i="1"/>
  <c r="G30" i="1"/>
  <c r="D21" i="1"/>
  <c r="D20" i="1"/>
  <c r="E5" i="1"/>
  <c r="E4" i="1"/>
</calcChain>
</file>

<file path=xl/sharedStrings.xml><?xml version="1.0" encoding="utf-8"?>
<sst xmlns="http://schemas.openxmlformats.org/spreadsheetml/2006/main" count="127" uniqueCount="64">
  <si>
    <t>Q</t>
  </si>
  <si>
    <t>Mean vs Median + Outlier Investigation</t>
  </si>
  <si>
    <t>Order Value</t>
  </si>
  <si>
    <t>median</t>
  </si>
  <si>
    <t>right skewed</t>
  </si>
  <si>
    <t>because of outlier</t>
  </si>
  <si>
    <t xml:space="preserve">No, without strong evidence we can't make conclusion </t>
  </si>
  <si>
    <t>IQR</t>
  </si>
  <si>
    <t>SD vs CV: Employee Productivity</t>
  </si>
  <si>
    <t>Team</t>
  </si>
  <si>
    <t>Mean Output</t>
  </si>
  <si>
    <t>SD</t>
  </si>
  <si>
    <t>A</t>
  </si>
  <si>
    <t>B</t>
  </si>
  <si>
    <t>team B</t>
  </si>
  <si>
    <t xml:space="preserve">because of only SD not make a strong dicision so only SD is not enough </t>
  </si>
  <si>
    <t>IQR vs Range + Extreme Value</t>
  </si>
  <si>
    <t>Store A</t>
  </si>
  <si>
    <t>Store B</t>
  </si>
  <si>
    <t>Range</t>
  </si>
  <si>
    <t>Q1</t>
  </si>
  <si>
    <t>Q3</t>
  </si>
  <si>
    <t>range contains highest value but IQR contains middle values so range is much more affect than IQR</t>
  </si>
  <si>
    <t>Five Number Summary + Skewness</t>
  </si>
  <si>
    <t>Statistic</t>
  </si>
  <si>
    <t>Value</t>
  </si>
  <si>
    <t>Minimum</t>
  </si>
  <si>
    <t>Median</t>
  </si>
  <si>
    <t>Maximum</t>
  </si>
  <si>
    <t>right side</t>
  </si>
  <si>
    <t>Right skewed</t>
  </si>
  <si>
    <t>upper whisker length is bigger so data is right skewed</t>
  </si>
  <si>
    <t>Box Plot Business Comparison</t>
  </si>
  <si>
    <t>store B</t>
  </si>
  <si>
    <t>UWL</t>
  </si>
  <si>
    <t>Outlier Detection + Business Decision</t>
  </si>
  <si>
    <t>Delivery Time</t>
  </si>
  <si>
    <t>Lower fence</t>
  </si>
  <si>
    <t>Upper fence</t>
  </si>
  <si>
    <t>Outlier</t>
  </si>
  <si>
    <t>data has outlier so mean become higher so it can't represent typical time so median is much better because it is not affect by outlier</t>
  </si>
  <si>
    <t>CV Ranking + Investment Decision</t>
  </si>
  <si>
    <t>Investment</t>
  </si>
  <si>
    <t>Mean Return</t>
  </si>
  <si>
    <t>C</t>
  </si>
  <si>
    <t>C,A=B</t>
  </si>
  <si>
    <t xml:space="preserve">C </t>
  </si>
  <si>
    <t>Yes</t>
  </si>
  <si>
    <t xml:space="preserve">in CV there are mean and SD both are included so it can make a better picture of data </t>
  </si>
  <si>
    <t>Mean vs Median: Don't Overclaim</t>
  </si>
  <si>
    <t>Platform</t>
  </si>
  <si>
    <t>Mean Order Value</t>
  </si>
  <si>
    <t>Median Order Value</t>
  </si>
  <si>
    <t>No</t>
  </si>
  <si>
    <t>Choose the Best Statistical Tool</t>
  </si>
  <si>
    <t>D</t>
  </si>
  <si>
    <t>E</t>
  </si>
  <si>
    <t>F</t>
  </si>
  <si>
    <t>G</t>
  </si>
  <si>
    <t>CV</t>
  </si>
  <si>
    <t>Box plot</t>
  </si>
  <si>
    <t>mean</t>
  </si>
  <si>
    <t>Full Data Analyst Case</t>
  </si>
  <si>
    <t xml:space="preserve">platform B is better for higher typical value because of gap of mean median is low than platfrom A, CV gives a better picture of data and gives a strong ans that which platform is consistent , SD gives a better Absolute picture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</si>
</sst>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6" fontId="0" fillId="0" borderId="0" xfId="0" applyNumberFormat="1"/>
    <xf numFmtId="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D2BF-219B-433E-A112-AD235279BED1}">
  <dimension ref="A1:I129"/>
  <sheetViews>
    <sheetView tabSelected="1" topLeftCell="A115" zoomScale="160" zoomScaleNormal="160" workbookViewId="0">
      <selection activeCell="D130" sqref="D130"/>
    </sheetView>
  </sheetViews>
  <sheetFormatPr defaultRowHeight="14.4" x14ac:dyDescent="0.3"/>
  <cols>
    <col min="1" max="1" width="8.88671875" style="4"/>
    <col min="2" max="2" width="10" bestFit="1" customWidth="1"/>
    <col min="3" max="3" width="20" bestFit="1" customWidth="1"/>
    <col min="4" max="4" width="22" bestFit="1" customWidth="1"/>
  </cols>
  <sheetData>
    <row r="1" spans="1:5" x14ac:dyDescent="0.3">
      <c r="A1" s="4" t="s">
        <v>0</v>
      </c>
    </row>
    <row r="2" spans="1:5" ht="17.399999999999999" x14ac:dyDescent="0.35">
      <c r="A2" s="4">
        <v>1</v>
      </c>
      <c r="B2" s="1" t="s">
        <v>1</v>
      </c>
    </row>
    <row r="4" spans="1:5" ht="17.399999999999999" x14ac:dyDescent="0.3">
      <c r="B4" s="2" t="s">
        <v>2</v>
      </c>
      <c r="D4">
        <v>1</v>
      </c>
      <c r="E4">
        <f>AVERAGE(B5:B12)</f>
        <v>1343.75</v>
      </c>
    </row>
    <row r="5" spans="1:5" ht="17.399999999999999" x14ac:dyDescent="0.3">
      <c r="B5" s="3">
        <v>600</v>
      </c>
      <c r="D5">
        <v>2</v>
      </c>
      <c r="E5">
        <f>MEDIAN(B5:B12)</f>
        <v>775</v>
      </c>
    </row>
    <row r="6" spans="1:5" ht="17.399999999999999" x14ac:dyDescent="0.3">
      <c r="B6" s="3">
        <v>650</v>
      </c>
      <c r="D6">
        <v>3</v>
      </c>
      <c r="E6" t="s">
        <v>3</v>
      </c>
    </row>
    <row r="7" spans="1:5" ht="17.399999999999999" x14ac:dyDescent="0.3">
      <c r="B7" s="3">
        <v>700</v>
      </c>
      <c r="D7">
        <v>4</v>
      </c>
      <c r="E7" t="s">
        <v>4</v>
      </c>
    </row>
    <row r="8" spans="1:5" ht="17.399999999999999" x14ac:dyDescent="0.3">
      <c r="B8" s="3">
        <v>750</v>
      </c>
      <c r="D8">
        <v>5</v>
      </c>
      <c r="E8" t="s">
        <v>5</v>
      </c>
    </row>
    <row r="9" spans="1:5" ht="17.399999999999999" x14ac:dyDescent="0.3">
      <c r="B9" s="3">
        <v>800</v>
      </c>
      <c r="D9">
        <v>6</v>
      </c>
      <c r="E9" t="s">
        <v>6</v>
      </c>
    </row>
    <row r="10" spans="1:5" ht="17.399999999999999" x14ac:dyDescent="0.3">
      <c r="B10" s="3">
        <v>850</v>
      </c>
      <c r="D10">
        <v>7</v>
      </c>
      <c r="E10" t="s">
        <v>7</v>
      </c>
    </row>
    <row r="11" spans="1:5" ht="17.399999999999999" x14ac:dyDescent="0.3">
      <c r="B11" s="3">
        <v>900</v>
      </c>
    </row>
    <row r="12" spans="1:5" ht="17.399999999999999" x14ac:dyDescent="0.3">
      <c r="B12" s="3">
        <v>5500</v>
      </c>
    </row>
    <row r="14" spans="1:5" ht="17.399999999999999" x14ac:dyDescent="0.35">
      <c r="A14" s="4">
        <v>2</v>
      </c>
      <c r="B14" s="1" t="s">
        <v>8</v>
      </c>
    </row>
    <row r="15" spans="1:5" ht="15" thickBot="1" x14ac:dyDescent="0.35"/>
    <row r="16" spans="1:5" ht="18" thickBot="1" x14ac:dyDescent="0.35">
      <c r="B16" s="5" t="s">
        <v>9</v>
      </c>
      <c r="C16" s="8" t="s">
        <v>10</v>
      </c>
      <c r="D16" s="5" t="s">
        <v>11</v>
      </c>
    </row>
    <row r="17" spans="1:8" ht="18" thickBot="1" x14ac:dyDescent="0.35">
      <c r="B17" s="6" t="s">
        <v>12</v>
      </c>
      <c r="C17" s="6">
        <v>600</v>
      </c>
      <c r="D17" s="6">
        <v>48</v>
      </c>
    </row>
    <row r="18" spans="1:8" ht="18" thickBot="1" x14ac:dyDescent="0.35">
      <c r="B18" s="6" t="s">
        <v>13</v>
      </c>
      <c r="C18" s="7">
        <v>2400</v>
      </c>
      <c r="D18" s="6">
        <v>144</v>
      </c>
    </row>
    <row r="20" spans="1:8" x14ac:dyDescent="0.3">
      <c r="C20">
        <v>1</v>
      </c>
      <c r="D20">
        <f>D17/C17*100</f>
        <v>8</v>
      </c>
    </row>
    <row r="21" spans="1:8" x14ac:dyDescent="0.3">
      <c r="C21">
        <v>2</v>
      </c>
      <c r="D21">
        <f>D18/C18*100</f>
        <v>6</v>
      </c>
    </row>
    <row r="22" spans="1:8" x14ac:dyDescent="0.3">
      <c r="C22">
        <v>3</v>
      </c>
      <c r="D22" t="s">
        <v>14</v>
      </c>
    </row>
    <row r="23" spans="1:8" x14ac:dyDescent="0.3">
      <c r="C23">
        <v>4</v>
      </c>
      <c r="D23" t="s">
        <v>14</v>
      </c>
    </row>
    <row r="24" spans="1:8" x14ac:dyDescent="0.3">
      <c r="C24">
        <v>5</v>
      </c>
      <c r="D24" t="s">
        <v>14</v>
      </c>
    </row>
    <row r="25" spans="1:8" x14ac:dyDescent="0.3">
      <c r="C25">
        <v>6</v>
      </c>
      <c r="D25" t="s">
        <v>15</v>
      </c>
    </row>
    <row r="27" spans="1:8" ht="17.399999999999999" x14ac:dyDescent="0.35">
      <c r="A27" s="4">
        <v>3</v>
      </c>
      <c r="B27" s="1" t="s">
        <v>16</v>
      </c>
    </row>
    <row r="29" spans="1:8" ht="17.399999999999999" x14ac:dyDescent="0.3">
      <c r="B29" s="2" t="s">
        <v>17</v>
      </c>
      <c r="C29" s="2" t="s">
        <v>18</v>
      </c>
      <c r="G29" t="s">
        <v>12</v>
      </c>
      <c r="H29" t="s">
        <v>13</v>
      </c>
    </row>
    <row r="30" spans="1:8" ht="17.399999999999999" x14ac:dyDescent="0.3">
      <c r="B30" s="3">
        <v>1000</v>
      </c>
      <c r="C30" s="3">
        <v>1000</v>
      </c>
      <c r="E30" t="s">
        <v>19</v>
      </c>
      <c r="F30">
        <v>1</v>
      </c>
      <c r="G30">
        <f>MAX(B30:B36)-MIN(B30:B36)</f>
        <v>600</v>
      </c>
      <c r="H30">
        <f>MAX(C30:C36)-MIN(C30:C36)</f>
        <v>5000</v>
      </c>
    </row>
    <row r="31" spans="1:8" ht="17.399999999999999" x14ac:dyDescent="0.3">
      <c r="B31" s="3">
        <v>1100</v>
      </c>
      <c r="C31" s="3">
        <v>1100</v>
      </c>
      <c r="E31" t="s">
        <v>20</v>
      </c>
      <c r="F31">
        <v>2</v>
      </c>
      <c r="G31">
        <f>_xlfn.QUARTILE.INC(B30:B36,1)</f>
        <v>1150</v>
      </c>
      <c r="H31">
        <f>_xlfn.QUARTILE.INC(C30:C36,1)</f>
        <v>1150</v>
      </c>
    </row>
    <row r="32" spans="1:8" ht="17.399999999999999" x14ac:dyDescent="0.3">
      <c r="B32" s="3">
        <v>1200</v>
      </c>
      <c r="C32" s="3">
        <v>1200</v>
      </c>
      <c r="E32" t="s">
        <v>21</v>
      </c>
      <c r="F32">
        <v>3</v>
      </c>
      <c r="G32">
        <f>_xlfn.QUARTILE.INC(B30:B36,3)</f>
        <v>1450</v>
      </c>
      <c r="H32">
        <f>_xlfn.QUARTILE.INC(C30:C36,3)</f>
        <v>1450</v>
      </c>
    </row>
    <row r="33" spans="1:9" ht="17.399999999999999" x14ac:dyDescent="0.3">
      <c r="B33" s="3">
        <v>1300</v>
      </c>
      <c r="C33" s="3">
        <v>1300</v>
      </c>
      <c r="E33" t="s">
        <v>7</v>
      </c>
      <c r="F33">
        <v>4</v>
      </c>
      <c r="G33">
        <f>G32-G31</f>
        <v>300</v>
      </c>
      <c r="H33">
        <f>H32-H31</f>
        <v>300</v>
      </c>
    </row>
    <row r="34" spans="1:9" ht="17.399999999999999" x14ac:dyDescent="0.3">
      <c r="B34" s="3">
        <v>1400</v>
      </c>
      <c r="C34" s="3">
        <v>1400</v>
      </c>
      <c r="F34">
        <v>5</v>
      </c>
      <c r="G34" t="s">
        <v>7</v>
      </c>
    </row>
    <row r="35" spans="1:9" ht="17.399999999999999" x14ac:dyDescent="0.3">
      <c r="B35" s="3">
        <v>1500</v>
      </c>
      <c r="C35" s="3">
        <v>1500</v>
      </c>
      <c r="F35">
        <v>6</v>
      </c>
      <c r="G35" t="s">
        <v>22</v>
      </c>
    </row>
    <row r="36" spans="1:9" ht="17.399999999999999" x14ac:dyDescent="0.3">
      <c r="B36" s="3">
        <v>1600</v>
      </c>
      <c r="C36" s="3">
        <v>6000</v>
      </c>
    </row>
    <row r="38" spans="1:9" ht="17.399999999999999" x14ac:dyDescent="0.35">
      <c r="A38" s="4">
        <v>4</v>
      </c>
      <c r="B38" s="1" t="s">
        <v>23</v>
      </c>
    </row>
    <row r="39" spans="1:9" ht="15" thickBot="1" x14ac:dyDescent="0.35"/>
    <row r="40" spans="1:9" ht="18" thickBot="1" x14ac:dyDescent="0.35">
      <c r="B40" s="5" t="s">
        <v>24</v>
      </c>
      <c r="C40" s="5" t="s">
        <v>25</v>
      </c>
      <c r="E40">
        <v>1</v>
      </c>
      <c r="F40">
        <f>C42-C41</f>
        <v>8</v>
      </c>
    </row>
    <row r="41" spans="1:9" ht="18" thickBot="1" x14ac:dyDescent="0.35">
      <c r="B41" s="6" t="s">
        <v>26</v>
      </c>
      <c r="C41" s="6">
        <v>12</v>
      </c>
      <c r="E41">
        <v>2</v>
      </c>
      <c r="F41">
        <f>C45-C44</f>
        <v>48</v>
      </c>
    </row>
    <row r="42" spans="1:9" ht="18" thickBot="1" x14ac:dyDescent="0.35">
      <c r="B42" s="6" t="s">
        <v>20</v>
      </c>
      <c r="C42" s="6">
        <v>20</v>
      </c>
      <c r="E42">
        <v>3</v>
      </c>
      <c r="F42" t="s">
        <v>29</v>
      </c>
    </row>
    <row r="43" spans="1:9" ht="18" thickBot="1" x14ac:dyDescent="0.35">
      <c r="B43" s="6" t="s">
        <v>27</v>
      </c>
      <c r="C43" s="6">
        <v>27</v>
      </c>
      <c r="E43">
        <v>4</v>
      </c>
      <c r="F43" t="s">
        <v>30</v>
      </c>
    </row>
    <row r="44" spans="1:9" ht="18" thickBot="1" x14ac:dyDescent="0.35">
      <c r="B44" s="6" t="s">
        <v>21</v>
      </c>
      <c r="C44" s="6">
        <v>34</v>
      </c>
      <c r="E44">
        <v>5</v>
      </c>
      <c r="F44" t="s">
        <v>31</v>
      </c>
    </row>
    <row r="45" spans="1:9" ht="18" thickBot="1" x14ac:dyDescent="0.35">
      <c r="B45" s="6" t="s">
        <v>28</v>
      </c>
      <c r="C45" s="6">
        <v>82</v>
      </c>
    </row>
    <row r="47" spans="1:9" ht="17.399999999999999" x14ac:dyDescent="0.35">
      <c r="A47" s="4">
        <v>5</v>
      </c>
      <c r="B47" s="1" t="s">
        <v>32</v>
      </c>
    </row>
    <row r="48" spans="1:9" ht="15" thickBot="1" x14ac:dyDescent="0.35">
      <c r="H48" t="s">
        <v>12</v>
      </c>
      <c r="I48" t="s">
        <v>13</v>
      </c>
    </row>
    <row r="49" spans="1:9" ht="18" thickBot="1" x14ac:dyDescent="0.35">
      <c r="B49" s="5" t="s">
        <v>24</v>
      </c>
      <c r="C49" s="5" t="s">
        <v>17</v>
      </c>
      <c r="D49" s="5" t="s">
        <v>18</v>
      </c>
      <c r="G49">
        <v>1</v>
      </c>
      <c r="H49" s="11" t="s">
        <v>33</v>
      </c>
    </row>
    <row r="50" spans="1:9" ht="18" thickBot="1" x14ac:dyDescent="0.35">
      <c r="B50" s="6" t="s">
        <v>26</v>
      </c>
      <c r="C50" s="10">
        <v>18000</v>
      </c>
      <c r="D50" s="10">
        <v>12000</v>
      </c>
      <c r="F50" t="s">
        <v>7</v>
      </c>
      <c r="G50">
        <v>2</v>
      </c>
      <c r="H50" s="9">
        <f>C53-C51</f>
        <v>16000</v>
      </c>
      <c r="I50" s="9">
        <f>D53-D51</f>
        <v>40000</v>
      </c>
    </row>
    <row r="51" spans="1:9" ht="18" thickBot="1" x14ac:dyDescent="0.35">
      <c r="B51" s="6" t="s">
        <v>20</v>
      </c>
      <c r="C51" s="10">
        <v>28000</v>
      </c>
      <c r="D51" s="10">
        <v>22000</v>
      </c>
      <c r="F51" t="s">
        <v>19</v>
      </c>
      <c r="G51">
        <v>3</v>
      </c>
      <c r="H51" s="9">
        <f>C54-C50</f>
        <v>34000</v>
      </c>
      <c r="I51" s="9">
        <f>D54-D50</f>
        <v>93000</v>
      </c>
    </row>
    <row r="52" spans="1:9" ht="18" thickBot="1" x14ac:dyDescent="0.35">
      <c r="B52" s="6" t="s">
        <v>27</v>
      </c>
      <c r="C52" s="10">
        <v>35000</v>
      </c>
      <c r="D52" s="10">
        <v>38000</v>
      </c>
      <c r="G52">
        <v>4</v>
      </c>
      <c r="H52" t="s">
        <v>18</v>
      </c>
    </row>
    <row r="53" spans="1:9" ht="18" thickBot="1" x14ac:dyDescent="0.35">
      <c r="B53" s="6" t="s">
        <v>21</v>
      </c>
      <c r="C53" s="10">
        <v>44000</v>
      </c>
      <c r="D53" s="10">
        <v>62000</v>
      </c>
      <c r="G53">
        <v>5</v>
      </c>
      <c r="H53" t="s">
        <v>17</v>
      </c>
    </row>
    <row r="54" spans="1:9" ht="18" thickBot="1" x14ac:dyDescent="0.35">
      <c r="B54" s="6" t="s">
        <v>28</v>
      </c>
      <c r="C54" s="10">
        <v>52000</v>
      </c>
      <c r="D54" s="10">
        <v>105000</v>
      </c>
      <c r="F54" t="s">
        <v>34</v>
      </c>
      <c r="G54">
        <v>6</v>
      </c>
      <c r="H54" s="9">
        <f>C54-C53</f>
        <v>8000</v>
      </c>
      <c r="I54" s="9">
        <f>D54-D53</f>
        <v>43000</v>
      </c>
    </row>
    <row r="55" spans="1:9" x14ac:dyDescent="0.3">
      <c r="G55">
        <v>7</v>
      </c>
      <c r="H55" t="s">
        <v>33</v>
      </c>
    </row>
    <row r="57" spans="1:9" ht="17.399999999999999" x14ac:dyDescent="0.3">
      <c r="A57" s="4">
        <v>6</v>
      </c>
      <c r="B57" s="2" t="s">
        <v>35</v>
      </c>
    </row>
    <row r="59" spans="1:9" ht="17.399999999999999" x14ac:dyDescent="0.3">
      <c r="B59" s="2" t="s">
        <v>36</v>
      </c>
    </row>
    <row r="60" spans="1:9" ht="17.399999999999999" x14ac:dyDescent="0.3">
      <c r="B60" s="3">
        <v>10</v>
      </c>
      <c r="D60" t="s">
        <v>20</v>
      </c>
      <c r="E60">
        <v>1</v>
      </c>
      <c r="F60">
        <f>_xlfn.QUARTILE.INC(B60:B69,1)</f>
        <v>14.25</v>
      </c>
    </row>
    <row r="61" spans="1:9" ht="17.399999999999999" x14ac:dyDescent="0.3">
      <c r="B61" s="3">
        <v>12</v>
      </c>
      <c r="D61" t="s">
        <v>21</v>
      </c>
      <c r="E61">
        <v>2</v>
      </c>
      <c r="F61">
        <f>_xlfn.QUARTILE.INC(B60:B69,3)</f>
        <v>21.5</v>
      </c>
    </row>
    <row r="62" spans="1:9" ht="17.399999999999999" x14ac:dyDescent="0.3">
      <c r="B62" s="3">
        <v>14</v>
      </c>
      <c r="D62" t="s">
        <v>7</v>
      </c>
      <c r="E62">
        <v>3</v>
      </c>
      <c r="F62">
        <f>F61-F60</f>
        <v>7.25</v>
      </c>
    </row>
    <row r="63" spans="1:9" ht="17.399999999999999" x14ac:dyDescent="0.3">
      <c r="B63" s="3">
        <v>15</v>
      </c>
      <c r="D63" t="s">
        <v>37</v>
      </c>
      <c r="E63">
        <v>4</v>
      </c>
      <c r="F63">
        <f>F60-(1.5*F62)</f>
        <v>3.375</v>
      </c>
    </row>
    <row r="64" spans="1:9" ht="17.399999999999999" x14ac:dyDescent="0.3">
      <c r="B64" s="3">
        <v>17</v>
      </c>
      <c r="D64" t="s">
        <v>38</v>
      </c>
      <c r="E64">
        <v>5</v>
      </c>
      <c r="F64">
        <f>F61+(1.5*F62)</f>
        <v>32.375</v>
      </c>
    </row>
    <row r="65" spans="1:6" ht="17.399999999999999" x14ac:dyDescent="0.3">
      <c r="B65" s="3">
        <v>18</v>
      </c>
      <c r="D65" t="s">
        <v>39</v>
      </c>
      <c r="E65">
        <v>6</v>
      </c>
      <c r="F65">
        <v>50</v>
      </c>
    </row>
    <row r="66" spans="1:6" ht="17.399999999999999" x14ac:dyDescent="0.3">
      <c r="B66" s="3">
        <v>20</v>
      </c>
      <c r="E66">
        <v>7</v>
      </c>
      <c r="F66" t="s">
        <v>3</v>
      </c>
    </row>
    <row r="67" spans="1:6" ht="17.399999999999999" x14ac:dyDescent="0.3">
      <c r="B67" s="3">
        <v>22</v>
      </c>
      <c r="E67">
        <v>8</v>
      </c>
      <c r="F67" t="s">
        <v>40</v>
      </c>
    </row>
    <row r="68" spans="1:6" ht="17.399999999999999" x14ac:dyDescent="0.3">
      <c r="B68" s="3">
        <v>24</v>
      </c>
    </row>
    <row r="69" spans="1:6" ht="17.399999999999999" x14ac:dyDescent="0.3">
      <c r="B69" s="3">
        <v>50</v>
      </c>
    </row>
    <row r="71" spans="1:6" ht="17.399999999999999" x14ac:dyDescent="0.35">
      <c r="A71" s="4">
        <v>7</v>
      </c>
      <c r="B71" s="1" t="s">
        <v>41</v>
      </c>
    </row>
    <row r="72" spans="1:6" ht="15" thickBot="1" x14ac:dyDescent="0.35"/>
    <row r="73" spans="1:6" ht="18" thickBot="1" x14ac:dyDescent="0.35">
      <c r="B73" s="5" t="s">
        <v>42</v>
      </c>
      <c r="C73" s="5" t="s">
        <v>43</v>
      </c>
      <c r="D73" s="5" t="s">
        <v>11</v>
      </c>
    </row>
    <row r="74" spans="1:6" ht="18" thickBot="1" x14ac:dyDescent="0.35">
      <c r="B74" s="6" t="s">
        <v>12</v>
      </c>
      <c r="C74" s="12">
        <v>0.09</v>
      </c>
      <c r="D74" s="13">
        <v>1.7999999999999999E-2</v>
      </c>
    </row>
    <row r="75" spans="1:6" ht="18" thickBot="1" x14ac:dyDescent="0.35">
      <c r="B75" s="6" t="s">
        <v>13</v>
      </c>
      <c r="C75" s="12">
        <v>0.16</v>
      </c>
      <c r="D75" s="13">
        <v>3.2000000000000001E-2</v>
      </c>
    </row>
    <row r="76" spans="1:6" ht="18" thickBot="1" x14ac:dyDescent="0.35">
      <c r="B76" s="6" t="s">
        <v>44</v>
      </c>
      <c r="C76" s="12">
        <v>0.24</v>
      </c>
      <c r="D76" s="13">
        <v>3.5999999999999997E-2</v>
      </c>
    </row>
    <row r="78" spans="1:6" ht="17.399999999999999" x14ac:dyDescent="0.3">
      <c r="C78" s="14">
        <v>1</v>
      </c>
      <c r="D78">
        <f>D74/C74*100</f>
        <v>20</v>
      </c>
    </row>
    <row r="79" spans="1:6" ht="17.399999999999999" x14ac:dyDescent="0.3">
      <c r="C79" s="14">
        <v>2</v>
      </c>
      <c r="D79">
        <f>D75/C75*100</f>
        <v>20</v>
      </c>
    </row>
    <row r="80" spans="1:6" ht="17.399999999999999" x14ac:dyDescent="0.3">
      <c r="C80" s="14">
        <v>3</v>
      </c>
      <c r="D80">
        <f>D76/C76*100</f>
        <v>15</v>
      </c>
    </row>
    <row r="81" spans="1:4" ht="17.399999999999999" x14ac:dyDescent="0.3">
      <c r="C81" s="14">
        <v>4</v>
      </c>
      <c r="D81" t="s">
        <v>45</v>
      </c>
    </row>
    <row r="82" spans="1:4" ht="17.399999999999999" x14ac:dyDescent="0.3">
      <c r="C82" s="14">
        <v>5</v>
      </c>
      <c r="D82" t="s">
        <v>46</v>
      </c>
    </row>
    <row r="83" spans="1:4" ht="17.399999999999999" x14ac:dyDescent="0.3">
      <c r="C83" s="14">
        <v>6</v>
      </c>
      <c r="D83" t="s">
        <v>44</v>
      </c>
    </row>
    <row r="84" spans="1:4" ht="17.399999999999999" x14ac:dyDescent="0.3">
      <c r="C84" s="14">
        <v>7</v>
      </c>
      <c r="D84" t="s">
        <v>47</v>
      </c>
    </row>
    <row r="85" spans="1:4" ht="17.399999999999999" x14ac:dyDescent="0.3">
      <c r="C85" s="14">
        <v>8</v>
      </c>
      <c r="D85" t="s">
        <v>44</v>
      </c>
    </row>
    <row r="86" spans="1:4" ht="17.399999999999999" x14ac:dyDescent="0.3">
      <c r="C86" s="14">
        <v>9</v>
      </c>
      <c r="D86" t="s">
        <v>48</v>
      </c>
    </row>
    <row r="88" spans="1:4" ht="17.399999999999999" x14ac:dyDescent="0.35">
      <c r="A88" s="4">
        <v>8</v>
      </c>
      <c r="B88" s="1" t="s">
        <v>49</v>
      </c>
    </row>
    <row r="89" spans="1:4" ht="15" thickBot="1" x14ac:dyDescent="0.35"/>
    <row r="90" spans="1:4" ht="18" thickBot="1" x14ac:dyDescent="0.35">
      <c r="B90" s="5" t="s">
        <v>50</v>
      </c>
      <c r="C90" s="8" t="s">
        <v>51</v>
      </c>
      <c r="D90" s="8" t="s">
        <v>52</v>
      </c>
    </row>
    <row r="91" spans="1:4" ht="18" thickBot="1" x14ac:dyDescent="0.35">
      <c r="B91" s="6" t="s">
        <v>12</v>
      </c>
      <c r="C91" s="10">
        <v>1650</v>
      </c>
      <c r="D91" s="10">
        <v>1050</v>
      </c>
    </row>
    <row r="92" spans="1:4" ht="18" thickBot="1" x14ac:dyDescent="0.35">
      <c r="B92" s="6" t="s">
        <v>13</v>
      </c>
      <c r="C92" s="10">
        <v>1300</v>
      </c>
      <c r="D92" s="10">
        <v>1150</v>
      </c>
    </row>
    <row r="94" spans="1:4" x14ac:dyDescent="0.3">
      <c r="C94" t="s">
        <v>12</v>
      </c>
      <c r="D94" t="s">
        <v>13</v>
      </c>
    </row>
    <row r="95" spans="1:4" x14ac:dyDescent="0.3">
      <c r="B95">
        <v>1</v>
      </c>
      <c r="C95" t="s">
        <v>12</v>
      </c>
    </row>
    <row r="96" spans="1:4" x14ac:dyDescent="0.3">
      <c r="B96">
        <v>2</v>
      </c>
      <c r="C96" t="s">
        <v>13</v>
      </c>
    </row>
    <row r="97" spans="1:4" x14ac:dyDescent="0.3">
      <c r="B97">
        <v>3</v>
      </c>
      <c r="C97" t="s">
        <v>12</v>
      </c>
    </row>
    <row r="98" spans="1:4" x14ac:dyDescent="0.3">
      <c r="B98">
        <v>4</v>
      </c>
      <c r="C98" s="9">
        <f>C91-D91</f>
        <v>600</v>
      </c>
      <c r="D98" s="9">
        <f>C92-D92</f>
        <v>150</v>
      </c>
    </row>
    <row r="99" spans="1:4" x14ac:dyDescent="0.3">
      <c r="B99">
        <v>5</v>
      </c>
      <c r="C99" t="s">
        <v>53</v>
      </c>
    </row>
    <row r="100" spans="1:4" x14ac:dyDescent="0.3">
      <c r="B100">
        <v>6</v>
      </c>
      <c r="C100" t="s">
        <v>7</v>
      </c>
    </row>
    <row r="102" spans="1:4" ht="17.399999999999999" x14ac:dyDescent="0.35">
      <c r="A102" s="4">
        <v>9</v>
      </c>
      <c r="B102" s="1" t="s">
        <v>54</v>
      </c>
    </row>
    <row r="104" spans="1:4" x14ac:dyDescent="0.3">
      <c r="B104" t="s">
        <v>12</v>
      </c>
      <c r="C104" t="s">
        <v>3</v>
      </c>
    </row>
    <row r="105" spans="1:4" x14ac:dyDescent="0.3">
      <c r="B105" t="s">
        <v>13</v>
      </c>
      <c r="C105" t="s">
        <v>59</v>
      </c>
    </row>
    <row r="106" spans="1:4" x14ac:dyDescent="0.3">
      <c r="B106" t="s">
        <v>44</v>
      </c>
      <c r="C106" t="s">
        <v>7</v>
      </c>
    </row>
    <row r="107" spans="1:4" x14ac:dyDescent="0.3">
      <c r="B107" t="s">
        <v>55</v>
      </c>
      <c r="C107" t="s">
        <v>60</v>
      </c>
    </row>
    <row r="108" spans="1:4" x14ac:dyDescent="0.3">
      <c r="B108" t="s">
        <v>56</v>
      </c>
      <c r="C108" t="s">
        <v>11</v>
      </c>
    </row>
    <row r="109" spans="1:4" x14ac:dyDescent="0.3">
      <c r="B109" t="s">
        <v>57</v>
      </c>
      <c r="C109" t="s">
        <v>19</v>
      </c>
    </row>
    <row r="110" spans="1:4" x14ac:dyDescent="0.3">
      <c r="B110" t="s">
        <v>58</v>
      </c>
      <c r="C110" t="s">
        <v>61</v>
      </c>
    </row>
    <row r="112" spans="1:4" ht="17.399999999999999" x14ac:dyDescent="0.3">
      <c r="A112" s="4">
        <v>10</v>
      </c>
      <c r="B112" s="2" t="s">
        <v>62</v>
      </c>
    </row>
    <row r="113" spans="2:5" ht="15" thickBot="1" x14ac:dyDescent="0.35"/>
    <row r="114" spans="2:5" ht="18" thickBot="1" x14ac:dyDescent="0.35">
      <c r="B114" s="5" t="s">
        <v>50</v>
      </c>
      <c r="C114" s="5" t="s">
        <v>51</v>
      </c>
      <c r="D114" s="5" t="s">
        <v>27</v>
      </c>
      <c r="E114" s="5" t="s">
        <v>11</v>
      </c>
    </row>
    <row r="115" spans="2:5" ht="18" thickBot="1" x14ac:dyDescent="0.35">
      <c r="B115" s="6" t="s">
        <v>12</v>
      </c>
      <c r="C115" s="10">
        <v>1600</v>
      </c>
      <c r="D115" s="10">
        <v>1100</v>
      </c>
      <c r="E115" s="10">
        <v>320</v>
      </c>
    </row>
    <row r="116" spans="2:5" ht="18" thickBot="1" x14ac:dyDescent="0.35">
      <c r="B116" s="6" t="s">
        <v>13</v>
      </c>
      <c r="C116" s="10">
        <v>2100</v>
      </c>
      <c r="D116" s="10">
        <v>1950</v>
      </c>
      <c r="E116" s="10">
        <v>315</v>
      </c>
    </row>
    <row r="118" spans="2:5" x14ac:dyDescent="0.3">
      <c r="D118" t="s">
        <v>12</v>
      </c>
      <c r="E118" t="s">
        <v>13</v>
      </c>
    </row>
    <row r="119" spans="2:5" x14ac:dyDescent="0.3">
      <c r="C119">
        <v>1</v>
      </c>
      <c r="D119">
        <f>E115/C115*100</f>
        <v>20</v>
      </c>
    </row>
    <row r="120" spans="2:5" x14ac:dyDescent="0.3">
      <c r="C120">
        <v>2</v>
      </c>
      <c r="D120">
        <f>E116/C116*100</f>
        <v>15</v>
      </c>
    </row>
    <row r="121" spans="2:5" x14ac:dyDescent="0.3">
      <c r="C121">
        <v>3</v>
      </c>
      <c r="D121" t="s">
        <v>13</v>
      </c>
    </row>
    <row r="122" spans="2:5" x14ac:dyDescent="0.3">
      <c r="C122">
        <v>4</v>
      </c>
      <c r="D122" t="s">
        <v>12</v>
      </c>
    </row>
    <row r="123" spans="2:5" x14ac:dyDescent="0.3">
      <c r="C123">
        <v>5</v>
      </c>
      <c r="D123" t="s">
        <v>12</v>
      </c>
    </row>
    <row r="124" spans="2:5" x14ac:dyDescent="0.3">
      <c r="C124">
        <v>6</v>
      </c>
      <c r="D124" t="s">
        <v>13</v>
      </c>
    </row>
    <row r="125" spans="2:5" x14ac:dyDescent="0.3">
      <c r="C125">
        <v>7</v>
      </c>
      <c r="D125" t="s">
        <v>13</v>
      </c>
    </row>
    <row r="126" spans="2:5" x14ac:dyDescent="0.3">
      <c r="C126">
        <v>8</v>
      </c>
      <c r="D126" t="s">
        <v>13</v>
      </c>
    </row>
    <row r="127" spans="2:5" x14ac:dyDescent="0.3">
      <c r="C127">
        <v>9</v>
      </c>
      <c r="D127" t="s">
        <v>13</v>
      </c>
    </row>
    <row r="128" spans="2:5" x14ac:dyDescent="0.3">
      <c r="C128">
        <v>10</v>
      </c>
      <c r="D128" t="s">
        <v>53</v>
      </c>
    </row>
    <row r="129" spans="3:4" x14ac:dyDescent="0.3">
      <c r="C129">
        <v>11</v>
      </c>
      <c r="D1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2026-08-23T08:26:17Z</dcterms:created>
  <dcterms:modified xsi:type="dcterms:W3CDTF">2026-08-23T09:04:36Z</dcterms:modified>
</cp:coreProperties>
</file>