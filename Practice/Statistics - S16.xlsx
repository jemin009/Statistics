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F1E31502-A20B-4335-988C-B74DA7AA60C0}" xr6:coauthVersionLast="47" xr6:coauthVersionMax="47" xr10:uidLastSave="{00000000-0000-0000-0000-000000000000}"/>
  <bookViews>
    <workbookView xWindow="-108" yWindow="-108" windowWidth="23256" windowHeight="12456" xr2:uid="{2C19B681-B8F6-4172-9FBF-AC23A2B7397C}"/>
  </bookViews>
  <sheets>
    <sheet name="S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1" l="1"/>
  <c r="C60" i="1"/>
  <c r="G60" i="1"/>
  <c r="F60" i="1"/>
  <c r="E60" i="1"/>
  <c r="I96" i="1"/>
  <c r="H96" i="1"/>
  <c r="F72" i="1"/>
  <c r="I47" i="1"/>
  <c r="H47" i="1"/>
  <c r="G47" i="1"/>
  <c r="F47" i="1"/>
  <c r="E47" i="1"/>
  <c r="D47" i="1"/>
  <c r="C47" i="1"/>
  <c r="I38" i="1"/>
  <c r="H38" i="1"/>
  <c r="G38" i="1"/>
  <c r="H29" i="1"/>
  <c r="G29" i="1"/>
  <c r="F16" i="1"/>
  <c r="E16" i="1"/>
  <c r="D16" i="1"/>
  <c r="C16" i="1"/>
  <c r="D5" i="1"/>
  <c r="C5" i="1"/>
</calcChain>
</file>

<file path=xl/sharedStrings.xml><?xml version="1.0" encoding="utf-8"?>
<sst xmlns="http://schemas.openxmlformats.org/spreadsheetml/2006/main" count="105" uniqueCount="56">
  <si>
    <t>Mean vs Median</t>
  </si>
  <si>
    <t>Q</t>
  </si>
  <si>
    <t>daily sales are</t>
  </si>
  <si>
    <t>Mean</t>
  </si>
  <si>
    <t>Median</t>
  </si>
  <si>
    <t>5000 is outlier so for the mean in total it can play a major role for bacoming big total number so that way it can affect on mean</t>
  </si>
  <si>
    <t>Range vs IQR</t>
  </si>
  <si>
    <t>Dataset:</t>
  </si>
  <si>
    <t>Range</t>
  </si>
  <si>
    <t>Q1</t>
  </si>
  <si>
    <t>Q3</t>
  </si>
  <si>
    <t>IQR</t>
  </si>
  <si>
    <t xml:space="preserve">because of Q1 and Q3 is basically meadian of half data and IQR comes from it so IQR is less affected and Range is max - min so max is outlier so it can more affect </t>
  </si>
  <si>
    <t>Standard Deviation Interpretation</t>
  </si>
  <si>
    <t>Dataset</t>
  </si>
  <si>
    <t>Standard Deviation</t>
  </si>
  <si>
    <t>A</t>
  </si>
  <si>
    <t>B</t>
  </si>
  <si>
    <t>CV</t>
  </si>
  <si>
    <t xml:space="preserve">it tells that Dataset B has outlier so SD is become bigger </t>
  </si>
  <si>
    <t>Coefficient of Variation</t>
  </si>
  <si>
    <t>Company</t>
  </si>
  <si>
    <t>Mean Sales</t>
  </si>
  <si>
    <t>C</t>
  </si>
  <si>
    <t>C , A, B</t>
  </si>
  <si>
    <t xml:space="preserve">because of SD is becoming bigger used to some big data so </t>
  </si>
  <si>
    <t>Five Number Summary</t>
  </si>
  <si>
    <t>Minimum</t>
  </si>
  <si>
    <t>Maximum</t>
  </si>
  <si>
    <t>Outlier Detection</t>
  </si>
  <si>
    <t>Lower Fence</t>
  </si>
  <si>
    <t>Upper Fence</t>
  </si>
  <si>
    <t>No</t>
  </si>
  <si>
    <t>Box Plot Interpretation</t>
  </si>
  <si>
    <t>Statistic</t>
  </si>
  <si>
    <t>Value</t>
  </si>
  <si>
    <t>50% of whole data</t>
  </si>
  <si>
    <t xml:space="preserve">right side </t>
  </si>
  <si>
    <t xml:space="preserve">q1 is closer to median than q3 so data is left skewed </t>
  </si>
  <si>
    <t>using box plot we can easily find out outlier, data distrubution</t>
  </si>
  <si>
    <t>Identify the Incorrect Conclusion</t>
  </si>
  <si>
    <t>A student says:</t>
  </si>
  <si>
    <t>“Dataset A has a lower standard deviation than Dataset B, so Dataset A must also have a lower coefficient of variation.”</t>
  </si>
  <si>
    <t>Is this always true?</t>
  </si>
  <si>
    <t>No.</t>
  </si>
  <si>
    <t>bacause of some time standard deviation is high used to outliers so we can't canclude that CV is high or low</t>
  </si>
  <si>
    <t>Choose the Best Method</t>
  </si>
  <si>
    <t>D</t>
  </si>
  <si>
    <t>Box plot</t>
  </si>
  <si>
    <t>SD</t>
  </si>
  <si>
    <t>Mixed Data Analyst Case</t>
  </si>
  <si>
    <t>Mean Time</t>
  </si>
  <si>
    <t>Company A</t>
  </si>
  <si>
    <t>Company B</t>
  </si>
  <si>
    <t>because of it can lie of 25% of data</t>
  </si>
  <si>
    <t>Yes 40 be an outlier bacause of it will be bigger than upper 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</si>
</sst>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6" fontId="2" fillId="0" borderId="2" xfId="0" applyNumberFormat="1" applyFont="1" applyBorder="1" applyAlignment="1">
      <alignment horizontal="center" vertical="center"/>
    </xf>
    <xf numFmtId="6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2073-97F9-41EB-A85C-283163237575}">
  <dimension ref="A1:L103"/>
  <sheetViews>
    <sheetView tabSelected="1" topLeftCell="A88" zoomScale="160" zoomScaleNormal="160" workbookViewId="0">
      <selection activeCell="C96" sqref="C96"/>
    </sheetView>
  </sheetViews>
  <sheetFormatPr defaultRowHeight="15.6" x14ac:dyDescent="0.3"/>
  <cols>
    <col min="1" max="1" width="8.88671875" style="1"/>
    <col min="2" max="2" width="14.21875" style="8" bestFit="1" customWidth="1"/>
    <col min="3" max="3" width="12.6640625" style="8" bestFit="1" customWidth="1"/>
    <col min="4" max="4" width="20.88671875" style="8" bestFit="1" customWidth="1"/>
    <col min="5" max="5" width="8.88671875" style="8"/>
    <col min="6" max="7" width="10.6640625" style="8" bestFit="1" customWidth="1"/>
    <col min="8" max="16384" width="8.88671875" style="8"/>
  </cols>
  <sheetData>
    <row r="1" spans="1:12" x14ac:dyDescent="0.3">
      <c r="A1" s="1" t="s">
        <v>1</v>
      </c>
    </row>
    <row r="2" spans="1:12" x14ac:dyDescent="0.3">
      <c r="A2" s="1">
        <v>1</v>
      </c>
      <c r="B2" s="11" t="s">
        <v>0</v>
      </c>
    </row>
    <row r="4" spans="1:12" x14ac:dyDescent="0.3">
      <c r="B4" s="14" t="s">
        <v>2</v>
      </c>
      <c r="C4" s="17" t="s">
        <v>3</v>
      </c>
      <c r="D4" s="17" t="s">
        <v>4</v>
      </c>
    </row>
    <row r="5" spans="1:12" x14ac:dyDescent="0.3">
      <c r="B5" s="15">
        <v>900</v>
      </c>
      <c r="C5" s="16">
        <f>AVERAGE(B5:B11)</f>
        <v>1592.8571428571429</v>
      </c>
      <c r="D5" s="16">
        <f>MEDIAN(B5:B11)</f>
        <v>1050</v>
      </c>
    </row>
    <row r="6" spans="1:12" x14ac:dyDescent="0.3">
      <c r="B6" s="16">
        <v>950</v>
      </c>
      <c r="F6" s="10"/>
      <c r="L6" s="9"/>
    </row>
    <row r="7" spans="1:12" x14ac:dyDescent="0.3">
      <c r="B7" s="16">
        <v>1000</v>
      </c>
    </row>
    <row r="8" spans="1:12" x14ac:dyDescent="0.3">
      <c r="B8" s="16">
        <v>1050</v>
      </c>
      <c r="D8" s="8">
        <v>3</v>
      </c>
      <c r="E8" s="8" t="s">
        <v>4</v>
      </c>
    </row>
    <row r="9" spans="1:12" x14ac:dyDescent="0.3">
      <c r="B9" s="16">
        <v>1100</v>
      </c>
      <c r="D9" s="8">
        <v>4</v>
      </c>
      <c r="E9" s="13" t="s">
        <v>5</v>
      </c>
    </row>
    <row r="10" spans="1:12" x14ac:dyDescent="0.3">
      <c r="B10" s="16">
        <v>1150</v>
      </c>
    </row>
    <row r="11" spans="1:12" x14ac:dyDescent="0.3">
      <c r="B11" s="16">
        <v>5000</v>
      </c>
    </row>
    <row r="13" spans="1:12" x14ac:dyDescent="0.3">
      <c r="A13" s="1">
        <v>2</v>
      </c>
      <c r="B13" s="1" t="s">
        <v>6</v>
      </c>
    </row>
    <row r="15" spans="1:12" x14ac:dyDescent="0.3">
      <c r="B15" s="18" t="s">
        <v>7</v>
      </c>
      <c r="C15" s="17" t="s">
        <v>8</v>
      </c>
      <c r="D15" s="17" t="s">
        <v>9</v>
      </c>
      <c r="E15" s="19" t="s">
        <v>10</v>
      </c>
      <c r="F15" s="17" t="s">
        <v>11</v>
      </c>
    </row>
    <row r="16" spans="1:12" x14ac:dyDescent="0.3">
      <c r="B16" s="19">
        <v>5</v>
      </c>
      <c r="C16" s="17">
        <f>MAX(B16:B24)-MIN(B16:B24)</f>
        <v>45</v>
      </c>
      <c r="D16" s="17">
        <f>_xlfn.QUARTILE.INC(B16:B24,1)</f>
        <v>8</v>
      </c>
      <c r="E16" s="17">
        <f>_xlfn.QUARTILE.INC(B16:B24,3)</f>
        <v>12</v>
      </c>
      <c r="F16" s="17">
        <f>E16-D16</f>
        <v>4</v>
      </c>
    </row>
    <row r="17" spans="1:8" x14ac:dyDescent="0.3">
      <c r="B17" s="17">
        <v>7</v>
      </c>
    </row>
    <row r="18" spans="1:8" x14ac:dyDescent="0.3">
      <c r="B18" s="17">
        <v>8</v>
      </c>
    </row>
    <row r="19" spans="1:8" x14ac:dyDescent="0.3">
      <c r="B19" s="17">
        <v>9</v>
      </c>
      <c r="D19" s="8">
        <v>5</v>
      </c>
      <c r="E19" s="8" t="s">
        <v>11</v>
      </c>
    </row>
    <row r="20" spans="1:8" x14ac:dyDescent="0.3">
      <c r="B20" s="17">
        <v>10</v>
      </c>
      <c r="D20" s="8">
        <v>6</v>
      </c>
      <c r="E20" s="13" t="s">
        <v>12</v>
      </c>
    </row>
    <row r="21" spans="1:8" x14ac:dyDescent="0.3">
      <c r="B21" s="17">
        <v>11</v>
      </c>
    </row>
    <row r="22" spans="1:8" x14ac:dyDescent="0.3">
      <c r="B22" s="17">
        <v>12</v>
      </c>
    </row>
    <row r="23" spans="1:8" x14ac:dyDescent="0.3">
      <c r="B23" s="17">
        <v>13</v>
      </c>
    </row>
    <row r="24" spans="1:8" x14ac:dyDescent="0.3">
      <c r="B24" s="17">
        <v>50</v>
      </c>
    </row>
    <row r="26" spans="1:8" x14ac:dyDescent="0.3">
      <c r="A26" s="1">
        <v>3</v>
      </c>
      <c r="B26" s="12" t="s">
        <v>13</v>
      </c>
    </row>
    <row r="27" spans="1:8" ht="16.2" thickBot="1" x14ac:dyDescent="0.35"/>
    <row r="28" spans="1:8" ht="16.2" thickBot="1" x14ac:dyDescent="0.35">
      <c r="B28" s="2" t="s">
        <v>14</v>
      </c>
      <c r="C28" s="2" t="s">
        <v>3</v>
      </c>
      <c r="D28" s="2" t="s">
        <v>15</v>
      </c>
      <c r="F28" s="18" t="s">
        <v>14</v>
      </c>
      <c r="G28" s="18" t="s">
        <v>16</v>
      </c>
      <c r="H28" s="18" t="s">
        <v>17</v>
      </c>
    </row>
    <row r="29" spans="1:8" ht="16.2" thickBot="1" x14ac:dyDescent="0.35">
      <c r="B29" s="3" t="s">
        <v>16</v>
      </c>
      <c r="C29" s="3">
        <v>100</v>
      </c>
      <c r="D29" s="3">
        <v>5</v>
      </c>
      <c r="F29" s="17" t="s">
        <v>18</v>
      </c>
      <c r="G29" s="17">
        <f>D29/C29*100</f>
        <v>5</v>
      </c>
      <c r="H29" s="17">
        <f>D30/C30*100</f>
        <v>20</v>
      </c>
    </row>
    <row r="30" spans="1:8" ht="16.2" thickBot="1" x14ac:dyDescent="0.35">
      <c r="B30" s="3" t="s">
        <v>17</v>
      </c>
      <c r="C30" s="3">
        <v>100</v>
      </c>
      <c r="D30" s="3">
        <v>20</v>
      </c>
    </row>
    <row r="31" spans="1:8" x14ac:dyDescent="0.3">
      <c r="F31" s="8">
        <v>1</v>
      </c>
      <c r="G31" s="8" t="s">
        <v>17</v>
      </c>
    </row>
    <row r="32" spans="1:8" x14ac:dyDescent="0.3">
      <c r="F32" s="8">
        <v>2</v>
      </c>
      <c r="G32" s="8" t="s">
        <v>16</v>
      </c>
    </row>
    <row r="33" spans="1:9" x14ac:dyDescent="0.3">
      <c r="F33" s="8">
        <v>3</v>
      </c>
      <c r="G33" s="7" t="s">
        <v>19</v>
      </c>
    </row>
    <row r="35" spans="1:9" x14ac:dyDescent="0.3">
      <c r="A35" s="1">
        <v>4</v>
      </c>
      <c r="B35" s="12" t="s">
        <v>20</v>
      </c>
    </row>
    <row r="36" spans="1:9" ht="16.2" thickBot="1" x14ac:dyDescent="0.35"/>
    <row r="37" spans="1:9" ht="16.2" thickBot="1" x14ac:dyDescent="0.35">
      <c r="B37" s="2" t="s">
        <v>21</v>
      </c>
      <c r="C37" s="2" t="s">
        <v>22</v>
      </c>
      <c r="D37" s="2" t="s">
        <v>15</v>
      </c>
      <c r="F37" s="18" t="s">
        <v>21</v>
      </c>
      <c r="G37" s="18" t="s">
        <v>16</v>
      </c>
      <c r="H37" s="18" t="s">
        <v>17</v>
      </c>
      <c r="I37" s="18" t="s">
        <v>23</v>
      </c>
    </row>
    <row r="38" spans="1:9" ht="16.2" thickBot="1" x14ac:dyDescent="0.35">
      <c r="B38" s="3" t="s">
        <v>16</v>
      </c>
      <c r="C38" s="4">
        <v>40000</v>
      </c>
      <c r="D38" s="4">
        <v>4000</v>
      </c>
      <c r="F38" s="17" t="s">
        <v>18</v>
      </c>
      <c r="G38" s="17">
        <f>D38/C38*100</f>
        <v>10</v>
      </c>
      <c r="H38" s="17">
        <f>D39/C39*100</f>
        <v>15</v>
      </c>
      <c r="I38" s="17">
        <f>D40/C40*100</f>
        <v>5</v>
      </c>
    </row>
    <row r="39" spans="1:9" ht="16.2" thickBot="1" x14ac:dyDescent="0.35">
      <c r="B39" s="3" t="s">
        <v>17</v>
      </c>
      <c r="C39" s="4">
        <v>60000</v>
      </c>
      <c r="D39" s="4">
        <v>9000</v>
      </c>
    </row>
    <row r="40" spans="1:9" ht="16.2" thickBot="1" x14ac:dyDescent="0.35">
      <c r="B40" s="3" t="s">
        <v>23</v>
      </c>
      <c r="C40" s="4">
        <v>100000</v>
      </c>
      <c r="D40" s="4">
        <v>5000</v>
      </c>
      <c r="F40" s="8">
        <v>1</v>
      </c>
      <c r="G40" s="8" t="s">
        <v>23</v>
      </c>
    </row>
    <row r="41" spans="1:9" x14ac:dyDescent="0.3">
      <c r="F41" s="8">
        <v>2</v>
      </c>
      <c r="G41" s="8" t="s">
        <v>24</v>
      </c>
    </row>
    <row r="42" spans="1:9" x14ac:dyDescent="0.3">
      <c r="F42" s="8">
        <v>3</v>
      </c>
      <c r="G42" s="13" t="s">
        <v>25</v>
      </c>
    </row>
    <row r="44" spans="1:9" x14ac:dyDescent="0.3">
      <c r="A44" s="1">
        <v>5</v>
      </c>
      <c r="B44" s="12" t="s">
        <v>26</v>
      </c>
    </row>
    <row r="46" spans="1:9" x14ac:dyDescent="0.3">
      <c r="B46" s="20" t="s">
        <v>14</v>
      </c>
      <c r="C46" s="17" t="s">
        <v>27</v>
      </c>
      <c r="D46" s="17" t="s">
        <v>9</v>
      </c>
      <c r="E46" s="17" t="s">
        <v>4</v>
      </c>
      <c r="F46" s="17" t="s">
        <v>10</v>
      </c>
      <c r="G46" s="17" t="s">
        <v>28</v>
      </c>
      <c r="H46" s="17" t="s">
        <v>11</v>
      </c>
      <c r="I46" s="17" t="s">
        <v>8</v>
      </c>
    </row>
    <row r="47" spans="1:9" x14ac:dyDescent="0.3">
      <c r="B47" s="19">
        <v>4</v>
      </c>
      <c r="C47" s="17">
        <f>MIN(B47:B55)</f>
        <v>4</v>
      </c>
      <c r="D47" s="19">
        <f>_xlfn.QUARTILE.INC($B$47:$B$55,1)</f>
        <v>7</v>
      </c>
      <c r="E47" s="19">
        <f>_xlfn.QUARTILE.INC($B$47:$B$55,2)</f>
        <v>10</v>
      </c>
      <c r="F47" s="19">
        <f>_xlfn.QUARTILE.INC($B$47:$B$55,3)</f>
        <v>15</v>
      </c>
      <c r="G47" s="17">
        <f>MAX(B47:B55)</f>
        <v>20</v>
      </c>
      <c r="H47" s="17">
        <f>F47-D47</f>
        <v>8</v>
      </c>
      <c r="I47" s="17">
        <f>G47-C47</f>
        <v>16</v>
      </c>
    </row>
    <row r="48" spans="1:9" x14ac:dyDescent="0.3">
      <c r="B48" s="17">
        <v>6</v>
      </c>
    </row>
    <row r="49" spans="1:7" x14ac:dyDescent="0.3">
      <c r="B49" s="17">
        <v>7</v>
      </c>
    </row>
    <row r="50" spans="1:7" x14ac:dyDescent="0.3">
      <c r="B50" s="17">
        <v>9</v>
      </c>
    </row>
    <row r="51" spans="1:7" x14ac:dyDescent="0.3">
      <c r="B51" s="17">
        <v>10</v>
      </c>
    </row>
    <row r="52" spans="1:7" x14ac:dyDescent="0.3">
      <c r="B52" s="17">
        <v>12</v>
      </c>
    </row>
    <row r="53" spans="1:7" x14ac:dyDescent="0.3">
      <c r="B53" s="17">
        <v>15</v>
      </c>
    </row>
    <row r="54" spans="1:7" x14ac:dyDescent="0.3">
      <c r="B54" s="17">
        <v>18</v>
      </c>
    </row>
    <row r="55" spans="1:7" x14ac:dyDescent="0.3">
      <c r="B55" s="17">
        <v>20</v>
      </c>
    </row>
    <row r="57" spans="1:7" x14ac:dyDescent="0.3">
      <c r="A57" s="1">
        <v>6</v>
      </c>
      <c r="B57" s="12" t="s">
        <v>29</v>
      </c>
    </row>
    <row r="59" spans="1:7" x14ac:dyDescent="0.3">
      <c r="B59" s="20" t="s">
        <v>14</v>
      </c>
      <c r="C59" s="17" t="s">
        <v>30</v>
      </c>
      <c r="D59" s="17" t="s">
        <v>31</v>
      </c>
      <c r="E59" s="17" t="s">
        <v>9</v>
      </c>
      <c r="F59" s="17" t="s">
        <v>10</v>
      </c>
      <c r="G59" s="17" t="s">
        <v>11</v>
      </c>
    </row>
    <row r="60" spans="1:7" x14ac:dyDescent="0.3">
      <c r="B60" s="19">
        <v>4</v>
      </c>
      <c r="C60" s="17">
        <f>E60-(1.5*G60)</f>
        <v>-5</v>
      </c>
      <c r="D60" s="17">
        <f>F60+(1.5*G60)</f>
        <v>27</v>
      </c>
      <c r="E60" s="17">
        <f>_xlfn.QUARTILE.INC(B60:B68,1)</f>
        <v>7</v>
      </c>
      <c r="F60" s="17">
        <f>_xlfn.QUARTILE.INC(B60:B68,3)</f>
        <v>15</v>
      </c>
      <c r="G60" s="17">
        <f>F60-E60</f>
        <v>8</v>
      </c>
    </row>
    <row r="61" spans="1:7" x14ac:dyDescent="0.3">
      <c r="B61" s="21">
        <v>6</v>
      </c>
    </row>
    <row r="62" spans="1:7" x14ac:dyDescent="0.3">
      <c r="B62" s="17">
        <v>7</v>
      </c>
    </row>
    <row r="63" spans="1:7" x14ac:dyDescent="0.3">
      <c r="B63" s="17">
        <v>9</v>
      </c>
      <c r="D63" s="8">
        <v>3</v>
      </c>
      <c r="E63" s="8" t="s">
        <v>32</v>
      </c>
    </row>
    <row r="64" spans="1:7" x14ac:dyDescent="0.3">
      <c r="B64" s="17">
        <v>10</v>
      </c>
      <c r="D64" s="8">
        <v>4</v>
      </c>
      <c r="E64" s="13" t="s">
        <v>55</v>
      </c>
    </row>
    <row r="65" spans="1:6" x14ac:dyDescent="0.3">
      <c r="B65" s="17">
        <v>12</v>
      </c>
    </row>
    <row r="66" spans="1:6" x14ac:dyDescent="0.3">
      <c r="B66" s="17">
        <v>15</v>
      </c>
    </row>
    <row r="67" spans="1:6" x14ac:dyDescent="0.3">
      <c r="B67" s="17">
        <v>18</v>
      </c>
    </row>
    <row r="68" spans="1:6" x14ac:dyDescent="0.3">
      <c r="B68" s="17">
        <v>20</v>
      </c>
    </row>
    <row r="70" spans="1:6" x14ac:dyDescent="0.3">
      <c r="A70" s="1">
        <v>7</v>
      </c>
      <c r="B70" s="12" t="s">
        <v>33</v>
      </c>
    </row>
    <row r="71" spans="1:6" ht="16.2" thickBot="1" x14ac:dyDescent="0.35"/>
    <row r="72" spans="1:6" ht="16.2" thickBot="1" x14ac:dyDescent="0.35">
      <c r="B72" s="5" t="s">
        <v>34</v>
      </c>
      <c r="C72" s="5" t="s">
        <v>35</v>
      </c>
      <c r="E72" s="8">
        <v>1</v>
      </c>
      <c r="F72" s="13">
        <f>C76-C74</f>
        <v>25</v>
      </c>
    </row>
    <row r="73" spans="1:6" ht="16.2" thickBot="1" x14ac:dyDescent="0.35">
      <c r="B73" s="6" t="s">
        <v>27</v>
      </c>
      <c r="C73" s="3">
        <v>10</v>
      </c>
      <c r="E73" s="8">
        <v>2</v>
      </c>
      <c r="F73" s="13" t="s">
        <v>36</v>
      </c>
    </row>
    <row r="74" spans="1:6" ht="16.2" thickBot="1" x14ac:dyDescent="0.35">
      <c r="B74" s="3" t="s">
        <v>9</v>
      </c>
      <c r="C74" s="3">
        <v>20</v>
      </c>
      <c r="E74" s="8">
        <v>3</v>
      </c>
      <c r="F74" s="13" t="s">
        <v>37</v>
      </c>
    </row>
    <row r="75" spans="1:6" ht="16.2" thickBot="1" x14ac:dyDescent="0.35">
      <c r="B75" s="3" t="s">
        <v>4</v>
      </c>
      <c r="C75" s="3">
        <v>25</v>
      </c>
      <c r="E75" s="8">
        <v>4</v>
      </c>
      <c r="F75" s="13" t="s">
        <v>9</v>
      </c>
    </row>
    <row r="76" spans="1:6" ht="16.2" thickBot="1" x14ac:dyDescent="0.35">
      <c r="B76" s="3" t="s">
        <v>10</v>
      </c>
      <c r="C76" s="3">
        <v>45</v>
      </c>
      <c r="E76" s="8">
        <v>5</v>
      </c>
      <c r="F76" s="13" t="s">
        <v>38</v>
      </c>
    </row>
    <row r="77" spans="1:6" ht="16.2" thickBot="1" x14ac:dyDescent="0.35">
      <c r="B77" s="6" t="s">
        <v>28</v>
      </c>
      <c r="C77" s="3">
        <v>90</v>
      </c>
      <c r="E77" s="8">
        <v>6</v>
      </c>
      <c r="F77" s="13" t="s">
        <v>39</v>
      </c>
    </row>
    <row r="79" spans="1:6" x14ac:dyDescent="0.3">
      <c r="A79" s="1">
        <v>8</v>
      </c>
      <c r="B79" s="12" t="s">
        <v>40</v>
      </c>
    </row>
    <row r="80" spans="1:6" x14ac:dyDescent="0.3">
      <c r="B80" s="11" t="s">
        <v>41</v>
      </c>
    </row>
    <row r="81" spans="1:9" x14ac:dyDescent="0.3">
      <c r="B81" s="22" t="s">
        <v>42</v>
      </c>
    </row>
    <row r="82" spans="1:9" x14ac:dyDescent="0.3">
      <c r="B82" s="13" t="s">
        <v>43</v>
      </c>
    </row>
    <row r="84" spans="1:9" x14ac:dyDescent="0.3">
      <c r="B84" s="8">
        <v>1</v>
      </c>
      <c r="C84" s="8" t="s">
        <v>44</v>
      </c>
    </row>
    <row r="85" spans="1:9" x14ac:dyDescent="0.3">
      <c r="B85" s="8">
        <v>2</v>
      </c>
      <c r="C85" s="13" t="s">
        <v>45</v>
      </c>
    </row>
    <row r="87" spans="1:9" x14ac:dyDescent="0.3">
      <c r="A87" s="1">
        <v>9</v>
      </c>
      <c r="B87" s="12" t="s">
        <v>46</v>
      </c>
    </row>
    <row r="88" spans="1:9" x14ac:dyDescent="0.3">
      <c r="B88" s="8" t="s">
        <v>16</v>
      </c>
      <c r="C88" s="8" t="s">
        <v>4</v>
      </c>
    </row>
    <row r="89" spans="1:9" x14ac:dyDescent="0.3">
      <c r="B89" s="8" t="s">
        <v>17</v>
      </c>
      <c r="C89" s="8" t="s">
        <v>18</v>
      </c>
    </row>
    <row r="90" spans="1:9" x14ac:dyDescent="0.3">
      <c r="B90" s="8" t="s">
        <v>23</v>
      </c>
      <c r="C90" s="8" t="s">
        <v>48</v>
      </c>
    </row>
    <row r="91" spans="1:9" x14ac:dyDescent="0.3">
      <c r="B91" s="8" t="s">
        <v>47</v>
      </c>
      <c r="C91" s="8" t="s">
        <v>11</v>
      </c>
    </row>
    <row r="93" spans="1:9" x14ac:dyDescent="0.3">
      <c r="A93" s="1">
        <v>10</v>
      </c>
      <c r="B93" s="12" t="s">
        <v>50</v>
      </c>
    </row>
    <row r="94" spans="1:9" ht="16.2" thickBot="1" x14ac:dyDescent="0.35"/>
    <row r="95" spans="1:9" ht="16.2" thickBot="1" x14ac:dyDescent="0.35">
      <c r="B95" s="5" t="s">
        <v>21</v>
      </c>
      <c r="C95" s="5" t="s">
        <v>51</v>
      </c>
      <c r="D95" s="5" t="s">
        <v>49</v>
      </c>
      <c r="E95" s="5" t="s">
        <v>4</v>
      </c>
      <c r="G95" s="18" t="s">
        <v>21</v>
      </c>
      <c r="H95" s="23" t="s">
        <v>16</v>
      </c>
      <c r="I95" s="23" t="s">
        <v>17</v>
      </c>
    </row>
    <row r="96" spans="1:9" ht="16.2" thickBot="1" x14ac:dyDescent="0.35">
      <c r="B96" s="3" t="s">
        <v>16</v>
      </c>
      <c r="C96" s="3">
        <v>30</v>
      </c>
      <c r="D96" s="3">
        <v>6</v>
      </c>
      <c r="E96" s="3">
        <v>29</v>
      </c>
      <c r="G96" s="23" t="s">
        <v>18</v>
      </c>
      <c r="H96" s="17">
        <f>D96/C96*100</f>
        <v>20</v>
      </c>
      <c r="I96" s="17">
        <f>D97/C97*100</f>
        <v>10</v>
      </c>
    </row>
    <row r="97" spans="2:5" ht="16.2" thickBot="1" x14ac:dyDescent="0.35">
      <c r="B97" s="3" t="s">
        <v>17</v>
      </c>
      <c r="C97" s="3">
        <v>50</v>
      </c>
      <c r="D97" s="3">
        <v>5</v>
      </c>
      <c r="E97" s="3">
        <v>50</v>
      </c>
    </row>
    <row r="99" spans="2:5" x14ac:dyDescent="0.3">
      <c r="B99" s="8">
        <v>2</v>
      </c>
      <c r="C99" s="13" t="s">
        <v>52</v>
      </c>
    </row>
    <row r="100" spans="2:5" x14ac:dyDescent="0.3">
      <c r="B100" s="8">
        <v>3</v>
      </c>
      <c r="C100" s="13" t="s">
        <v>53</v>
      </c>
    </row>
    <row r="101" spans="2:5" x14ac:dyDescent="0.3">
      <c r="B101" s="8">
        <v>4</v>
      </c>
      <c r="C101" s="13" t="s">
        <v>53</v>
      </c>
    </row>
    <row r="102" spans="2:5" x14ac:dyDescent="0.3">
      <c r="B102" s="8">
        <v>5</v>
      </c>
      <c r="C102" s="13" t="s">
        <v>54</v>
      </c>
    </row>
    <row r="103" spans="2:5" x14ac:dyDescent="0.3">
      <c r="B103" s="8">
        <v>6</v>
      </c>
      <c r="C103" s="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2026-08-13T04:42:15Z</dcterms:created>
  <dcterms:modified xsi:type="dcterms:W3CDTF">2026-08-13T11:49:52Z</dcterms:modified>
</cp:coreProperties>
</file>