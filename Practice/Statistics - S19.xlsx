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11CF06DB-9F98-4872-A32D-6E8359731265}" xr6:coauthVersionLast="47" xr6:coauthVersionMax="47" xr10:uidLastSave="{00000000-0000-0000-0000-000000000000}"/>
  <bookViews>
    <workbookView xWindow="-108" yWindow="-108" windowWidth="23256" windowHeight="12456" xr2:uid="{45F3CE21-82B4-44C1-B41C-CA1E0FB13D98}"/>
  </bookViews>
  <sheets>
    <sheet name="S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8" i="1" l="1"/>
  <c r="D108" i="1"/>
  <c r="F78" i="1"/>
  <c r="E78" i="1"/>
  <c r="D78" i="1"/>
  <c r="F63" i="1"/>
  <c r="F62" i="1"/>
  <c r="F61" i="1"/>
  <c r="F60" i="1"/>
  <c r="F59" i="1"/>
  <c r="H50" i="1"/>
  <c r="G50" i="1"/>
  <c r="H49" i="1"/>
  <c r="G49" i="1"/>
  <c r="H32" i="1"/>
  <c r="G32" i="1"/>
  <c r="H31" i="1"/>
  <c r="G31" i="1"/>
  <c r="H30" i="1"/>
  <c r="G30" i="1"/>
  <c r="H29" i="1"/>
  <c r="G29" i="1"/>
  <c r="D20" i="1"/>
  <c r="C20" i="1"/>
  <c r="E5" i="1"/>
  <c r="E4" i="1"/>
</calcChain>
</file>

<file path=xl/sharedStrings.xml><?xml version="1.0" encoding="utf-8"?>
<sst xmlns="http://schemas.openxmlformats.org/spreadsheetml/2006/main" count="118" uniqueCount="68">
  <si>
    <t>Mean, Median &amp; Business Decision</t>
  </si>
  <si>
    <t>Q</t>
  </si>
  <si>
    <t>Order Value</t>
  </si>
  <si>
    <t>Median</t>
  </si>
  <si>
    <t xml:space="preserve">because of some outliers mean becoming higher so median is best </t>
  </si>
  <si>
    <t>SD vs CV</t>
  </si>
  <si>
    <t>Factory</t>
  </si>
  <si>
    <t>Mean Production</t>
  </si>
  <si>
    <t>SD</t>
  </si>
  <si>
    <t>A</t>
  </si>
  <si>
    <t>B</t>
  </si>
  <si>
    <t>CV</t>
  </si>
  <si>
    <t>Factory A</t>
  </si>
  <si>
    <t>Factory B</t>
  </si>
  <si>
    <t>factory B</t>
  </si>
  <si>
    <t>because of some time SD is low but mean is higher so SD is incomplete picture</t>
  </si>
  <si>
    <t>IQR vs Range</t>
  </si>
  <si>
    <t>Dataset A</t>
  </si>
  <si>
    <t>Dataset B</t>
  </si>
  <si>
    <t>Range</t>
  </si>
  <si>
    <t>Q1</t>
  </si>
  <si>
    <t>Q3</t>
  </si>
  <si>
    <t>IQR</t>
  </si>
  <si>
    <t xml:space="preserve">IQR contains Q1 and Q3 so it is not bigger but range contains max and min value so it contains outliers also </t>
  </si>
  <si>
    <t>Skewness From Summary Statistics</t>
  </si>
  <si>
    <t>Statistic</t>
  </si>
  <si>
    <t>Value</t>
  </si>
  <si>
    <t>Minimum</t>
  </si>
  <si>
    <t>Maximum</t>
  </si>
  <si>
    <t>right side</t>
  </si>
  <si>
    <t xml:space="preserve">Right skewed </t>
  </si>
  <si>
    <t xml:space="preserve">upper whisker length is bigger used to max value so it is right skewed </t>
  </si>
  <si>
    <t>Box Plot Business Comparison</t>
  </si>
  <si>
    <t>Team A</t>
  </si>
  <si>
    <t>Team B</t>
  </si>
  <si>
    <t>Outlier Detection &amp; Business Impact</t>
  </si>
  <si>
    <t>delivery dataset contains</t>
  </si>
  <si>
    <t>Lower fence</t>
  </si>
  <si>
    <t>Upper fence</t>
  </si>
  <si>
    <t>Outlier</t>
  </si>
  <si>
    <t>because of used to outlier mean become higher so median is better for represent</t>
  </si>
  <si>
    <t>CV Ranking &amp; Decision</t>
  </si>
  <si>
    <t>Investment</t>
  </si>
  <si>
    <t>Mean Return</t>
  </si>
  <si>
    <t>C</t>
  </si>
  <si>
    <t>Rank</t>
  </si>
  <si>
    <t>C,A=B</t>
  </si>
  <si>
    <t xml:space="preserve">C  </t>
  </si>
  <si>
    <t>A=B</t>
  </si>
  <si>
    <t>Yes</t>
  </si>
  <si>
    <t>Identify the Weak Analyst Conclusion</t>
  </si>
  <si>
    <t>No</t>
  </si>
  <si>
    <t>some time SD is low but mean is higher so make conclusion on SD is not fair</t>
  </si>
  <si>
    <t>mean with SD = CV</t>
  </si>
  <si>
    <t xml:space="preserve">used to some outliers </t>
  </si>
  <si>
    <t>Choose the Best Statistical Tool</t>
  </si>
  <si>
    <t>D</t>
  </si>
  <si>
    <t>E</t>
  </si>
  <si>
    <t>F</t>
  </si>
  <si>
    <t>Box plot</t>
  </si>
  <si>
    <t>Mean</t>
  </si>
  <si>
    <t>Full Data Analyst Case</t>
  </si>
  <si>
    <t>Platform</t>
  </si>
  <si>
    <t>Mean Order Value</t>
  </si>
  <si>
    <t>platform B</t>
  </si>
  <si>
    <t>platform A</t>
  </si>
  <si>
    <t>because of outlier affect on mean and other feactor so looking all of value is gives a better picture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</si>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</sst>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9F8B-1588-4A80-BEB5-82E8E9B5F080}">
  <dimension ref="A1:H115"/>
  <sheetViews>
    <sheetView tabSelected="1" topLeftCell="A97" zoomScale="175" zoomScaleNormal="175" workbookViewId="0">
      <selection activeCell="B58" sqref="B58:B68"/>
    </sheetView>
  </sheetViews>
  <sheetFormatPr defaultRowHeight="14.4" x14ac:dyDescent="0.3"/>
  <cols>
    <col min="1" max="1" width="8.88671875" style="14"/>
    <col min="2" max="2" width="26.6640625" style="9" bestFit="1" customWidth="1"/>
    <col min="3" max="3" width="20" style="9" bestFit="1" customWidth="1"/>
    <col min="4" max="4" width="11.21875" style="9" bestFit="1" customWidth="1"/>
    <col min="5" max="16384" width="8.88671875" style="9"/>
  </cols>
  <sheetData>
    <row r="1" spans="1:5" x14ac:dyDescent="0.3">
      <c r="A1" s="14" t="s">
        <v>1</v>
      </c>
    </row>
    <row r="2" spans="1:5" ht="17.399999999999999" x14ac:dyDescent="0.3">
      <c r="A2" s="14">
        <v>1</v>
      </c>
      <c r="B2" s="15" t="s">
        <v>0</v>
      </c>
    </row>
    <row r="3" spans="1:5" ht="15" thickBot="1" x14ac:dyDescent="0.35"/>
    <row r="4" spans="1:5" ht="18" thickBot="1" x14ac:dyDescent="0.35">
      <c r="B4" s="3" t="s">
        <v>2</v>
      </c>
      <c r="D4" s="9">
        <v>1</v>
      </c>
      <c r="E4" s="11">
        <f>AVERAGE(B5:B11)</f>
        <v>1085.7142857142858</v>
      </c>
    </row>
    <row r="5" spans="1:5" ht="18" thickBot="1" x14ac:dyDescent="0.35">
      <c r="B5" s="2">
        <v>450</v>
      </c>
      <c r="D5" s="9">
        <v>2</v>
      </c>
      <c r="E5" s="11">
        <f>MEDIAN(B5:B11)</f>
        <v>520</v>
      </c>
    </row>
    <row r="6" spans="1:5" ht="18" thickBot="1" x14ac:dyDescent="0.35">
      <c r="B6" s="2">
        <v>480</v>
      </c>
      <c r="D6" s="9">
        <v>3</v>
      </c>
      <c r="E6" s="9" t="s">
        <v>3</v>
      </c>
    </row>
    <row r="7" spans="1:5" ht="18" thickBot="1" x14ac:dyDescent="0.35">
      <c r="B7" s="2">
        <v>500</v>
      </c>
      <c r="D7" s="9">
        <v>4</v>
      </c>
      <c r="E7" s="16" t="s">
        <v>4</v>
      </c>
    </row>
    <row r="8" spans="1:5" ht="18" thickBot="1" x14ac:dyDescent="0.35">
      <c r="B8" s="2">
        <v>520</v>
      </c>
      <c r="D8" s="9">
        <v>5</v>
      </c>
      <c r="E8" s="16" t="s">
        <v>67</v>
      </c>
    </row>
    <row r="9" spans="1:5" ht="18" thickBot="1" x14ac:dyDescent="0.35">
      <c r="B9" s="2">
        <v>550</v>
      </c>
    </row>
    <row r="10" spans="1:5" ht="18" thickBot="1" x14ac:dyDescent="0.35">
      <c r="B10" s="2">
        <v>600</v>
      </c>
    </row>
    <row r="11" spans="1:5" ht="18" thickBot="1" x14ac:dyDescent="0.35">
      <c r="B11" s="2">
        <v>4500</v>
      </c>
    </row>
    <row r="13" spans="1:5" ht="17.399999999999999" x14ac:dyDescent="0.35">
      <c r="A13" s="14">
        <v>2</v>
      </c>
      <c r="B13" s="12" t="s">
        <v>5</v>
      </c>
    </row>
    <row r="14" spans="1:5" ht="15" thickBot="1" x14ac:dyDescent="0.35"/>
    <row r="15" spans="1:5" ht="18" thickBot="1" x14ac:dyDescent="0.35">
      <c r="B15" s="1" t="s">
        <v>6</v>
      </c>
      <c r="C15" s="3" t="s">
        <v>7</v>
      </c>
      <c r="D15" s="1" t="s">
        <v>8</v>
      </c>
    </row>
    <row r="16" spans="1:5" ht="18" thickBot="1" x14ac:dyDescent="0.35">
      <c r="B16" s="4" t="s">
        <v>9</v>
      </c>
      <c r="C16" s="5">
        <v>1000</v>
      </c>
      <c r="D16" s="4">
        <v>80</v>
      </c>
    </row>
    <row r="17" spans="1:8" ht="18" thickBot="1" x14ac:dyDescent="0.35">
      <c r="B17" s="4" t="s">
        <v>10</v>
      </c>
      <c r="C17" s="5">
        <v>4000</v>
      </c>
      <c r="D17" s="4">
        <v>200</v>
      </c>
    </row>
    <row r="19" spans="1:8" x14ac:dyDescent="0.3">
      <c r="C19" s="9" t="s">
        <v>9</v>
      </c>
      <c r="D19" s="9" t="s">
        <v>10</v>
      </c>
    </row>
    <row r="20" spans="1:8" x14ac:dyDescent="0.3">
      <c r="B20" s="9">
        <v>1</v>
      </c>
      <c r="C20" s="9">
        <f>D16/C16*100</f>
        <v>8</v>
      </c>
      <c r="D20" s="9">
        <f>D17/C17*100</f>
        <v>5</v>
      </c>
    </row>
    <row r="21" spans="1:8" x14ac:dyDescent="0.3">
      <c r="B21" s="9">
        <v>2</v>
      </c>
      <c r="C21" s="9" t="s">
        <v>13</v>
      </c>
    </row>
    <row r="22" spans="1:8" x14ac:dyDescent="0.3">
      <c r="B22" s="9">
        <v>3</v>
      </c>
      <c r="C22" s="9" t="s">
        <v>12</v>
      </c>
    </row>
    <row r="23" spans="1:8" x14ac:dyDescent="0.3">
      <c r="B23" s="9">
        <v>4</v>
      </c>
      <c r="C23" s="9" t="s">
        <v>14</v>
      </c>
    </row>
    <row r="24" spans="1:8" x14ac:dyDescent="0.3">
      <c r="B24" s="9">
        <v>5</v>
      </c>
      <c r="C24" s="16" t="s">
        <v>15</v>
      </c>
    </row>
    <row r="26" spans="1:8" ht="17.399999999999999" x14ac:dyDescent="0.35">
      <c r="A26" s="14">
        <v>3</v>
      </c>
      <c r="B26" s="12" t="s">
        <v>16</v>
      </c>
    </row>
    <row r="28" spans="1:8" ht="17.399999999999999" x14ac:dyDescent="0.35">
      <c r="B28" s="18" t="s">
        <v>17</v>
      </c>
      <c r="C28" s="18" t="s">
        <v>18</v>
      </c>
      <c r="G28" s="13" t="s">
        <v>9</v>
      </c>
      <c r="H28" s="9" t="s">
        <v>10</v>
      </c>
    </row>
    <row r="29" spans="1:8" ht="17.399999999999999" x14ac:dyDescent="0.35">
      <c r="B29" s="19">
        <v>20</v>
      </c>
      <c r="C29" s="20">
        <v>20</v>
      </c>
      <c r="E29" s="9" t="s">
        <v>19</v>
      </c>
      <c r="F29" s="9">
        <v>1</v>
      </c>
      <c r="G29" s="9">
        <f>MAX(B29:B35)-MIN(B29:B35)</f>
        <v>10</v>
      </c>
      <c r="H29" s="9">
        <f>MAX(C29:C35)-MIN(C29:C35)</f>
        <v>80</v>
      </c>
    </row>
    <row r="30" spans="1:8" x14ac:dyDescent="0.3">
      <c r="B30" s="21">
        <v>22</v>
      </c>
      <c r="C30" s="21">
        <v>22</v>
      </c>
      <c r="E30" s="9" t="s">
        <v>20</v>
      </c>
      <c r="F30" s="9">
        <v>2</v>
      </c>
      <c r="G30" s="9">
        <f>_xlfn.QUARTILE.INC(B29:B35,1)</f>
        <v>23</v>
      </c>
      <c r="H30" s="9">
        <f>_xlfn.QUARTILE.INC(C29:C35,1)</f>
        <v>23</v>
      </c>
    </row>
    <row r="31" spans="1:8" x14ac:dyDescent="0.3">
      <c r="B31" s="21">
        <v>24</v>
      </c>
      <c r="C31" s="21">
        <v>24</v>
      </c>
      <c r="E31" s="9" t="s">
        <v>21</v>
      </c>
      <c r="F31" s="9">
        <v>2</v>
      </c>
      <c r="G31" s="9">
        <f>_xlfn.QUARTILE.INC(B29:B35,3)</f>
        <v>27</v>
      </c>
      <c r="H31" s="9">
        <f>_xlfn.QUARTILE.INC(C29:C35,3)</f>
        <v>27</v>
      </c>
    </row>
    <row r="32" spans="1:8" x14ac:dyDescent="0.3">
      <c r="B32" s="21">
        <v>25</v>
      </c>
      <c r="C32" s="21">
        <v>25</v>
      </c>
      <c r="E32" s="9" t="s">
        <v>22</v>
      </c>
      <c r="F32" s="9">
        <v>3</v>
      </c>
      <c r="G32" s="9">
        <f>G31-G30</f>
        <v>4</v>
      </c>
      <c r="H32" s="9">
        <f>H31-H30</f>
        <v>4</v>
      </c>
    </row>
    <row r="33" spans="1:8" x14ac:dyDescent="0.3">
      <c r="B33" s="21">
        <v>26</v>
      </c>
      <c r="C33" s="21">
        <v>26</v>
      </c>
      <c r="F33" s="9">
        <v>4</v>
      </c>
      <c r="G33" s="9" t="s">
        <v>22</v>
      </c>
    </row>
    <row r="34" spans="1:8" x14ac:dyDescent="0.3">
      <c r="B34" s="21">
        <v>28</v>
      </c>
      <c r="C34" s="21">
        <v>28</v>
      </c>
      <c r="F34" s="9">
        <v>5</v>
      </c>
      <c r="G34" s="16" t="s">
        <v>23</v>
      </c>
    </row>
    <row r="35" spans="1:8" x14ac:dyDescent="0.3">
      <c r="B35" s="21">
        <v>30</v>
      </c>
      <c r="C35" s="21">
        <v>100</v>
      </c>
    </row>
    <row r="37" spans="1:8" ht="17.399999999999999" x14ac:dyDescent="0.35">
      <c r="A37" s="14">
        <v>4</v>
      </c>
      <c r="B37" s="17" t="s">
        <v>24</v>
      </c>
    </row>
    <row r="38" spans="1:8" ht="15" thickBot="1" x14ac:dyDescent="0.35"/>
    <row r="39" spans="1:8" ht="18" thickBot="1" x14ac:dyDescent="0.35">
      <c r="B39" s="1" t="s">
        <v>25</v>
      </c>
      <c r="C39" s="1" t="s">
        <v>26</v>
      </c>
      <c r="E39" s="9">
        <v>1</v>
      </c>
      <c r="F39" s="9">
        <v>8</v>
      </c>
    </row>
    <row r="40" spans="1:8" ht="18" thickBot="1" x14ac:dyDescent="0.35">
      <c r="B40" s="4" t="s">
        <v>27</v>
      </c>
      <c r="C40" s="4">
        <v>10</v>
      </c>
      <c r="E40" s="9">
        <v>2</v>
      </c>
      <c r="F40" s="9">
        <v>45</v>
      </c>
    </row>
    <row r="41" spans="1:8" ht="18" thickBot="1" x14ac:dyDescent="0.35">
      <c r="B41" s="4" t="s">
        <v>20</v>
      </c>
      <c r="C41" s="4">
        <v>18</v>
      </c>
      <c r="E41" s="9">
        <v>3</v>
      </c>
      <c r="F41" s="9" t="s">
        <v>29</v>
      </c>
    </row>
    <row r="42" spans="1:8" ht="18" thickBot="1" x14ac:dyDescent="0.35">
      <c r="B42" s="4" t="s">
        <v>3</v>
      </c>
      <c r="C42" s="4">
        <v>25</v>
      </c>
      <c r="E42" s="9">
        <v>4</v>
      </c>
      <c r="F42" s="16" t="s">
        <v>30</v>
      </c>
    </row>
    <row r="43" spans="1:8" ht="18" thickBot="1" x14ac:dyDescent="0.35">
      <c r="B43" s="4" t="s">
        <v>21</v>
      </c>
      <c r="C43" s="4">
        <v>30</v>
      </c>
      <c r="E43" s="9">
        <v>5</v>
      </c>
      <c r="F43" s="16" t="s">
        <v>31</v>
      </c>
    </row>
    <row r="44" spans="1:8" ht="18" thickBot="1" x14ac:dyDescent="0.35">
      <c r="B44" s="4" t="s">
        <v>28</v>
      </c>
      <c r="C44" s="4">
        <v>75</v>
      </c>
    </row>
    <row r="46" spans="1:8" ht="17.399999999999999" x14ac:dyDescent="0.35">
      <c r="A46" s="14">
        <v>5</v>
      </c>
      <c r="B46" s="17" t="s">
        <v>32</v>
      </c>
    </row>
    <row r="47" spans="1:8" ht="15" thickBot="1" x14ac:dyDescent="0.35">
      <c r="G47" s="9" t="s">
        <v>9</v>
      </c>
      <c r="H47" s="9" t="s">
        <v>10</v>
      </c>
    </row>
    <row r="48" spans="1:8" ht="18" thickBot="1" x14ac:dyDescent="0.35">
      <c r="B48" s="1" t="s">
        <v>25</v>
      </c>
      <c r="C48" s="1" t="s">
        <v>33</v>
      </c>
      <c r="D48" s="1" t="s">
        <v>34</v>
      </c>
      <c r="F48" s="9">
        <v>1</v>
      </c>
      <c r="G48" s="6" t="s">
        <v>33</v>
      </c>
    </row>
    <row r="49" spans="1:8" ht="18" thickBot="1" x14ac:dyDescent="0.35">
      <c r="B49" s="4" t="s">
        <v>27</v>
      </c>
      <c r="C49" s="2">
        <v>20000</v>
      </c>
      <c r="D49" s="2">
        <v>10000</v>
      </c>
      <c r="F49" s="9">
        <v>2</v>
      </c>
      <c r="G49" s="9">
        <f>C52-C50</f>
        <v>20000</v>
      </c>
      <c r="H49" s="11">
        <f>D52-D50</f>
        <v>40000</v>
      </c>
    </row>
    <row r="50" spans="1:8" ht="18" thickBot="1" x14ac:dyDescent="0.35">
      <c r="B50" s="4" t="s">
        <v>20</v>
      </c>
      <c r="C50" s="2">
        <v>30000</v>
      </c>
      <c r="D50" s="2">
        <v>20000</v>
      </c>
      <c r="F50" s="9">
        <v>3</v>
      </c>
      <c r="G50" s="11">
        <f>C53-C49</f>
        <v>40000</v>
      </c>
      <c r="H50" s="11">
        <f>D53-D49</f>
        <v>90000</v>
      </c>
    </row>
    <row r="51" spans="1:8" ht="18" thickBot="1" x14ac:dyDescent="0.35">
      <c r="B51" s="4" t="s">
        <v>3</v>
      </c>
      <c r="C51" s="2">
        <v>40000</v>
      </c>
      <c r="D51" s="2">
        <v>35000</v>
      </c>
      <c r="F51" s="9">
        <v>4</v>
      </c>
      <c r="G51" s="9" t="s">
        <v>34</v>
      </c>
    </row>
    <row r="52" spans="1:8" ht="18" thickBot="1" x14ac:dyDescent="0.35">
      <c r="B52" s="4" t="s">
        <v>21</v>
      </c>
      <c r="C52" s="2">
        <v>50000</v>
      </c>
      <c r="D52" s="2">
        <v>60000</v>
      </c>
      <c r="F52" s="9">
        <v>5</v>
      </c>
      <c r="G52" s="9" t="s">
        <v>33</v>
      </c>
    </row>
    <row r="53" spans="1:8" ht="18" thickBot="1" x14ac:dyDescent="0.35">
      <c r="B53" s="4" t="s">
        <v>28</v>
      </c>
      <c r="C53" s="2">
        <v>60000</v>
      </c>
      <c r="D53" s="2">
        <v>100000</v>
      </c>
      <c r="F53" s="9">
        <v>6</v>
      </c>
      <c r="G53" s="9" t="s">
        <v>34</v>
      </c>
    </row>
    <row r="54" spans="1:8" x14ac:dyDescent="0.3">
      <c r="F54" s="9">
        <v>7</v>
      </c>
      <c r="G54" s="9" t="s">
        <v>33</v>
      </c>
    </row>
    <row r="56" spans="1:8" ht="17.399999999999999" x14ac:dyDescent="0.35">
      <c r="A56" s="14">
        <v>6</v>
      </c>
      <c r="B56" s="17" t="s">
        <v>35</v>
      </c>
    </row>
    <row r="58" spans="1:8" ht="17.399999999999999" x14ac:dyDescent="0.35">
      <c r="B58" s="18" t="s">
        <v>36</v>
      </c>
      <c r="F58" s="10"/>
    </row>
    <row r="59" spans="1:8" ht="17.399999999999999" x14ac:dyDescent="0.3">
      <c r="B59" s="19">
        <v>15</v>
      </c>
      <c r="D59" s="9" t="s">
        <v>20</v>
      </c>
      <c r="E59" s="9">
        <v>1</v>
      </c>
      <c r="F59" s="9">
        <f>_xlfn.QUARTILE.INC(B59:B68,1)</f>
        <v>18.25</v>
      </c>
    </row>
    <row r="60" spans="1:8" x14ac:dyDescent="0.3">
      <c r="B60" s="21">
        <v>16</v>
      </c>
      <c r="D60" s="9" t="s">
        <v>21</v>
      </c>
      <c r="E60" s="9">
        <v>2</v>
      </c>
      <c r="F60" s="9">
        <f>_xlfn.QUARTILE.INC(B59:B68,3)</f>
        <v>23.5</v>
      </c>
    </row>
    <row r="61" spans="1:8" x14ac:dyDescent="0.3">
      <c r="B61" s="21">
        <v>18</v>
      </c>
      <c r="D61" s="9" t="s">
        <v>22</v>
      </c>
      <c r="E61" s="9">
        <v>3</v>
      </c>
      <c r="F61" s="9">
        <f>F60-F59</f>
        <v>5.25</v>
      </c>
    </row>
    <row r="62" spans="1:8" x14ac:dyDescent="0.3">
      <c r="B62" s="21">
        <v>19</v>
      </c>
      <c r="D62" s="9" t="s">
        <v>37</v>
      </c>
      <c r="E62" s="9">
        <v>4</v>
      </c>
      <c r="F62" s="9">
        <f>F59-(1.5*F61)</f>
        <v>10.375</v>
      </c>
    </row>
    <row r="63" spans="1:8" x14ac:dyDescent="0.3">
      <c r="B63" s="21">
        <v>20</v>
      </c>
      <c r="D63" s="9" t="s">
        <v>38</v>
      </c>
      <c r="E63" s="9">
        <v>5</v>
      </c>
      <c r="F63" s="9">
        <f>F60+(1.5*F61)</f>
        <v>31.375</v>
      </c>
    </row>
    <row r="64" spans="1:8" x14ac:dyDescent="0.3">
      <c r="B64" s="21">
        <v>21</v>
      </c>
      <c r="D64" s="9" t="s">
        <v>39</v>
      </c>
      <c r="E64" s="9">
        <v>6</v>
      </c>
      <c r="F64" s="9">
        <v>70</v>
      </c>
    </row>
    <row r="65" spans="1:6" x14ac:dyDescent="0.3">
      <c r="B65" s="21">
        <v>22</v>
      </c>
      <c r="E65" s="9">
        <v>7</v>
      </c>
      <c r="F65" s="9" t="s">
        <v>3</v>
      </c>
    </row>
    <row r="66" spans="1:6" x14ac:dyDescent="0.3">
      <c r="B66" s="21">
        <v>24</v>
      </c>
      <c r="E66" s="9">
        <v>8</v>
      </c>
      <c r="F66" s="16" t="s">
        <v>40</v>
      </c>
    </row>
    <row r="67" spans="1:6" x14ac:dyDescent="0.3">
      <c r="B67" s="21">
        <v>26</v>
      </c>
    </row>
    <row r="68" spans="1:6" x14ac:dyDescent="0.3">
      <c r="B68" s="21">
        <v>70</v>
      </c>
    </row>
    <row r="70" spans="1:6" ht="17.399999999999999" x14ac:dyDescent="0.35">
      <c r="A70" s="14">
        <v>7</v>
      </c>
      <c r="B70" s="12" t="s">
        <v>41</v>
      </c>
    </row>
    <row r="71" spans="1:6" ht="15" thickBot="1" x14ac:dyDescent="0.35"/>
    <row r="72" spans="1:6" ht="18" thickBot="1" x14ac:dyDescent="0.35">
      <c r="B72" s="1" t="s">
        <v>42</v>
      </c>
      <c r="C72" s="1" t="s">
        <v>43</v>
      </c>
      <c r="D72" s="1" t="s">
        <v>8</v>
      </c>
    </row>
    <row r="73" spans="1:6" ht="18" thickBot="1" x14ac:dyDescent="0.35">
      <c r="B73" s="4" t="s">
        <v>9</v>
      </c>
      <c r="C73" s="7">
        <v>0.1</v>
      </c>
      <c r="D73" s="7">
        <v>0.02</v>
      </c>
    </row>
    <row r="74" spans="1:6" ht="18" thickBot="1" x14ac:dyDescent="0.35">
      <c r="B74" s="4" t="s">
        <v>10</v>
      </c>
      <c r="C74" s="7">
        <v>0.18</v>
      </c>
      <c r="D74" s="8">
        <v>3.5999999999999997E-2</v>
      </c>
    </row>
    <row r="75" spans="1:6" ht="18" thickBot="1" x14ac:dyDescent="0.35">
      <c r="B75" s="4" t="s">
        <v>44</v>
      </c>
      <c r="C75" s="7">
        <v>0.3</v>
      </c>
      <c r="D75" s="8">
        <v>4.4999999999999998E-2</v>
      </c>
    </row>
    <row r="77" spans="1:6" x14ac:dyDescent="0.3">
      <c r="D77" s="9" t="s">
        <v>9</v>
      </c>
      <c r="E77" s="9" t="s">
        <v>10</v>
      </c>
      <c r="F77" s="9" t="s">
        <v>44</v>
      </c>
    </row>
    <row r="78" spans="1:6" ht="17.399999999999999" x14ac:dyDescent="0.3">
      <c r="B78" s="6" t="s">
        <v>11</v>
      </c>
      <c r="C78" s="9">
        <v>1</v>
      </c>
      <c r="D78" s="9">
        <f>D73/C73*100</f>
        <v>20</v>
      </c>
      <c r="E78" s="9">
        <f>D74/C74*100</f>
        <v>20</v>
      </c>
      <c r="F78" s="9">
        <f>D75/C75*100</f>
        <v>15</v>
      </c>
    </row>
    <row r="79" spans="1:6" ht="17.399999999999999" x14ac:dyDescent="0.3">
      <c r="B79" s="6" t="s">
        <v>45</v>
      </c>
      <c r="C79" s="9">
        <v>2</v>
      </c>
      <c r="D79" s="9" t="s">
        <v>46</v>
      </c>
    </row>
    <row r="80" spans="1:6" x14ac:dyDescent="0.3">
      <c r="C80" s="9">
        <v>3</v>
      </c>
      <c r="D80" s="9" t="s">
        <v>47</v>
      </c>
    </row>
    <row r="81" spans="1:4" x14ac:dyDescent="0.3">
      <c r="C81" s="9">
        <v>4</v>
      </c>
      <c r="D81" s="9" t="s">
        <v>48</v>
      </c>
    </row>
    <row r="82" spans="1:4" x14ac:dyDescent="0.3">
      <c r="C82" s="9">
        <v>5</v>
      </c>
      <c r="D82" s="9" t="s">
        <v>49</v>
      </c>
    </row>
    <row r="83" spans="1:4" x14ac:dyDescent="0.3">
      <c r="C83" s="9">
        <v>6</v>
      </c>
      <c r="D83" s="9" t="s">
        <v>44</v>
      </c>
    </row>
    <row r="85" spans="1:4" ht="17.399999999999999" x14ac:dyDescent="0.35">
      <c r="A85" s="14">
        <v>8</v>
      </c>
      <c r="B85" s="17" t="s">
        <v>50</v>
      </c>
    </row>
    <row r="87" spans="1:4" x14ac:dyDescent="0.3">
      <c r="B87" s="9">
        <v>1</v>
      </c>
      <c r="C87" s="9" t="s">
        <v>51</v>
      </c>
    </row>
    <row r="88" spans="1:4" x14ac:dyDescent="0.3">
      <c r="B88" s="9">
        <v>2</v>
      </c>
      <c r="C88" s="16" t="s">
        <v>52</v>
      </c>
    </row>
    <row r="89" spans="1:4" x14ac:dyDescent="0.3">
      <c r="B89" s="9">
        <v>3</v>
      </c>
      <c r="C89" s="9" t="s">
        <v>53</v>
      </c>
    </row>
    <row r="90" spans="1:4" x14ac:dyDescent="0.3">
      <c r="B90" s="9">
        <v>4</v>
      </c>
      <c r="C90" s="9" t="s">
        <v>54</v>
      </c>
    </row>
    <row r="92" spans="1:4" ht="17.399999999999999" x14ac:dyDescent="0.35">
      <c r="A92" s="14">
        <v>9</v>
      </c>
      <c r="B92" s="17" t="s">
        <v>55</v>
      </c>
    </row>
    <row r="94" spans="1:4" x14ac:dyDescent="0.3">
      <c r="B94" s="9" t="s">
        <v>9</v>
      </c>
      <c r="C94" s="9" t="s">
        <v>3</v>
      </c>
    </row>
    <row r="95" spans="1:4" x14ac:dyDescent="0.3">
      <c r="B95" s="9" t="s">
        <v>10</v>
      </c>
      <c r="C95" s="9" t="s">
        <v>11</v>
      </c>
    </row>
    <row r="96" spans="1:4" x14ac:dyDescent="0.3">
      <c r="B96" s="9" t="s">
        <v>44</v>
      </c>
      <c r="C96" s="9" t="s">
        <v>22</v>
      </c>
    </row>
    <row r="97" spans="1:5" x14ac:dyDescent="0.3">
      <c r="B97" s="9" t="s">
        <v>56</v>
      </c>
      <c r="C97" s="9" t="s">
        <v>59</v>
      </c>
    </row>
    <row r="98" spans="1:5" x14ac:dyDescent="0.3">
      <c r="B98" s="9" t="s">
        <v>57</v>
      </c>
      <c r="C98" s="9" t="s">
        <v>8</v>
      </c>
    </row>
    <row r="99" spans="1:5" x14ac:dyDescent="0.3">
      <c r="B99" s="9" t="s">
        <v>58</v>
      </c>
      <c r="C99" s="9" t="s">
        <v>60</v>
      </c>
    </row>
    <row r="101" spans="1:5" ht="17.399999999999999" x14ac:dyDescent="0.3">
      <c r="A101" s="14">
        <v>10</v>
      </c>
      <c r="B101" s="10" t="s">
        <v>61</v>
      </c>
    </row>
    <row r="102" spans="1:5" ht="15" thickBot="1" x14ac:dyDescent="0.35"/>
    <row r="103" spans="1:5" ht="18" thickBot="1" x14ac:dyDescent="0.35">
      <c r="B103" s="1" t="s">
        <v>62</v>
      </c>
      <c r="C103" s="3" t="s">
        <v>63</v>
      </c>
      <c r="D103" s="1" t="s">
        <v>3</v>
      </c>
      <c r="E103" s="1" t="s">
        <v>8</v>
      </c>
    </row>
    <row r="104" spans="1:5" ht="18" thickBot="1" x14ac:dyDescent="0.35">
      <c r="B104" s="4" t="s">
        <v>9</v>
      </c>
      <c r="C104" s="2">
        <v>1200</v>
      </c>
      <c r="D104" s="2">
        <v>900</v>
      </c>
      <c r="E104" s="2">
        <v>240</v>
      </c>
    </row>
    <row r="105" spans="1:5" ht="18" thickBot="1" x14ac:dyDescent="0.35">
      <c r="B105" s="4" t="s">
        <v>10</v>
      </c>
      <c r="C105" s="2">
        <v>2000</v>
      </c>
      <c r="D105" s="2">
        <v>1950</v>
      </c>
      <c r="E105" s="2">
        <v>300</v>
      </c>
    </row>
    <row r="107" spans="1:5" x14ac:dyDescent="0.3">
      <c r="D107" s="9" t="s">
        <v>9</v>
      </c>
      <c r="E107" s="9" t="s">
        <v>10</v>
      </c>
    </row>
    <row r="108" spans="1:5" x14ac:dyDescent="0.3">
      <c r="B108" s="9" t="s">
        <v>11</v>
      </c>
      <c r="C108" s="9">
        <v>1</v>
      </c>
      <c r="D108" s="9">
        <f>E104/C104*100</f>
        <v>20</v>
      </c>
      <c r="E108" s="9">
        <f>E105/C105*100</f>
        <v>15</v>
      </c>
    </row>
    <row r="109" spans="1:5" x14ac:dyDescent="0.3">
      <c r="C109" s="9">
        <v>2</v>
      </c>
      <c r="D109" s="9" t="s">
        <v>64</v>
      </c>
    </row>
    <row r="110" spans="1:5" x14ac:dyDescent="0.3">
      <c r="C110" s="9">
        <v>3</v>
      </c>
      <c r="D110" s="9" t="s">
        <v>65</v>
      </c>
    </row>
    <row r="111" spans="1:5" x14ac:dyDescent="0.3">
      <c r="C111" s="9">
        <v>4</v>
      </c>
      <c r="D111" s="9" t="s">
        <v>65</v>
      </c>
    </row>
    <row r="112" spans="1:5" x14ac:dyDescent="0.3">
      <c r="C112" s="9">
        <v>5</v>
      </c>
      <c r="D112" s="9" t="s">
        <v>65</v>
      </c>
    </row>
    <row r="113" spans="3:4" x14ac:dyDescent="0.3">
      <c r="C113" s="9">
        <v>6</v>
      </c>
      <c r="D113" s="9" t="s">
        <v>64</v>
      </c>
    </row>
    <row r="114" spans="3:4" x14ac:dyDescent="0.3">
      <c r="C114" s="9">
        <v>7</v>
      </c>
      <c r="D114" s="9" t="s">
        <v>65</v>
      </c>
    </row>
    <row r="115" spans="3:4" x14ac:dyDescent="0.3">
      <c r="C115" s="9">
        <v>8</v>
      </c>
      <c r="D115" s="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2026-08-19T04:22:42Z</dcterms:created>
  <dcterms:modified xsi:type="dcterms:W3CDTF">2026-08-19T05:02:31Z</dcterms:modified>
</cp:coreProperties>
</file>