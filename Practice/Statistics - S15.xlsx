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637CD161-4E41-4A97-A376-C22AA78C233A}" xr6:coauthVersionLast="47" xr6:coauthVersionMax="47" xr10:uidLastSave="{00000000-0000-0000-0000-000000000000}"/>
  <bookViews>
    <workbookView xWindow="-108" yWindow="-108" windowWidth="23256" windowHeight="12456" xr2:uid="{DC9B023A-C66E-400F-9042-2A1A7BB93562}"/>
  </bookViews>
  <sheets>
    <sheet name="S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8" i="1" l="1"/>
  <c r="G108" i="1"/>
  <c r="H70" i="1"/>
  <c r="G70" i="1"/>
  <c r="H69" i="1"/>
  <c r="G69" i="1"/>
  <c r="C60" i="1"/>
  <c r="E42" i="1"/>
  <c r="F42" i="1" s="1"/>
  <c r="D42" i="1"/>
  <c r="G42" i="1" s="1"/>
  <c r="C42" i="1"/>
  <c r="G29" i="1"/>
  <c r="H29" i="1" s="1"/>
  <c r="F29" i="1"/>
  <c r="E29" i="1"/>
  <c r="D29" i="1"/>
  <c r="C29" i="1"/>
  <c r="G22" i="1"/>
  <c r="F22" i="1"/>
  <c r="F14" i="1"/>
  <c r="G14" i="1"/>
  <c r="F6" i="1"/>
  <c r="E6" i="1"/>
</calcChain>
</file>

<file path=xl/sharedStrings.xml><?xml version="1.0" encoding="utf-8"?>
<sst xmlns="http://schemas.openxmlformats.org/spreadsheetml/2006/main" count="106" uniqueCount="62">
  <si>
    <t>Q</t>
  </si>
  <si>
    <t>Compare Consistency Using Standard Deviation</t>
  </si>
  <si>
    <t>Machine A</t>
  </si>
  <si>
    <t>Machine B</t>
  </si>
  <si>
    <t>Range</t>
  </si>
  <si>
    <t>Machine A has smaller range</t>
  </si>
  <si>
    <t>Machine A appears more consistent</t>
  </si>
  <si>
    <t>because of it can measure that how value is away from mean</t>
  </si>
  <si>
    <t xml:space="preserve">Coefficient of Variation </t>
  </si>
  <si>
    <t>Store</t>
  </si>
  <si>
    <t>Mean Sales</t>
  </si>
  <si>
    <t>Standard Deviation</t>
  </si>
  <si>
    <t>A</t>
  </si>
  <si>
    <t>B</t>
  </si>
  <si>
    <t>CV</t>
  </si>
  <si>
    <t>Both are same</t>
  </si>
  <si>
    <t>both are consistent</t>
  </si>
  <si>
    <t>CV Interpretation</t>
  </si>
  <si>
    <t>Investment</t>
  </si>
  <si>
    <t>Mean Return</t>
  </si>
  <si>
    <t>A is lower relative vaiability</t>
  </si>
  <si>
    <t>Five Number Summary</t>
  </si>
  <si>
    <t>experience in years</t>
  </si>
  <si>
    <t>Minimum</t>
  </si>
  <si>
    <t>Q1</t>
  </si>
  <si>
    <t>Median</t>
  </si>
  <si>
    <t>Maximum</t>
  </si>
  <si>
    <t>Q3</t>
  </si>
  <si>
    <t>IQR</t>
  </si>
  <si>
    <t>Outlier Detection</t>
  </si>
  <si>
    <t>Lower fence</t>
  </si>
  <si>
    <t>Upper fence</t>
  </si>
  <si>
    <t>No, 12 is not an outlier because of it is less than upper fence and greater than lower fence</t>
  </si>
  <si>
    <t>Box Plot Interpretation</t>
  </si>
  <si>
    <t>Min</t>
  </si>
  <si>
    <t>50% of observations lie between 20 and 40</t>
  </si>
  <si>
    <t>median is closer to Q1</t>
  </si>
  <si>
    <t>Q2</t>
  </si>
  <si>
    <t>it is suggest that distribution of data is normal and consistent</t>
  </si>
  <si>
    <t>Compare Box Plots</t>
  </si>
  <si>
    <t>Statistic</t>
  </si>
  <si>
    <t>Dept A</t>
  </si>
  <si>
    <t>Dept B</t>
  </si>
  <si>
    <t>Dept A, beacause of Dept A q1 is close to median then Dept B</t>
  </si>
  <si>
    <t>Distribution Shape</t>
  </si>
  <si>
    <t>median closer to Q1</t>
  </si>
  <si>
    <t>Upper side has longer whisker</t>
  </si>
  <si>
    <t>right skewed</t>
  </si>
  <si>
    <t xml:space="preserve">median   </t>
  </si>
  <si>
    <t>Data Analyst Scenario</t>
  </si>
  <si>
    <t>Which measure is more appropriate?</t>
  </si>
  <si>
    <t>A. Range</t>
  </si>
  <si>
    <t>B. Variance</t>
  </si>
  <si>
    <t>C. Coefficient of Variation</t>
  </si>
  <si>
    <t>D. Median</t>
  </si>
  <si>
    <t>Mixed Business Case</t>
  </si>
  <si>
    <t>Company</t>
  </si>
  <si>
    <t>Mean Delivery Time</t>
  </si>
  <si>
    <t>company B</t>
  </si>
  <si>
    <t>company A</t>
  </si>
  <si>
    <t>Standard deviation</t>
  </si>
  <si>
    <t>because of it can show that how far away values from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</si>
</sst>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6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D2EF-F0E5-4809-AC27-AED9B44553D7}">
  <dimension ref="A1:H114"/>
  <sheetViews>
    <sheetView tabSelected="1" topLeftCell="A104" zoomScale="160" zoomScaleNormal="160" workbookViewId="0">
      <selection activeCell="G111" sqref="G111"/>
    </sheetView>
  </sheetViews>
  <sheetFormatPr defaultRowHeight="15.6" x14ac:dyDescent="0.3"/>
  <cols>
    <col min="1" max="1" width="8.88671875" style="1"/>
    <col min="2" max="2" width="20.77734375" style="1" bestFit="1" customWidth="1"/>
    <col min="3" max="3" width="21.5546875" style="1" bestFit="1" customWidth="1"/>
    <col min="4" max="4" width="20.88671875" style="1" bestFit="1" customWidth="1"/>
    <col min="5" max="5" width="11.88671875" style="1" bestFit="1" customWidth="1"/>
    <col min="6" max="6" width="12.109375" style="1" bestFit="1" customWidth="1"/>
    <col min="7" max="7" width="12.33203125" style="1" bestFit="1" customWidth="1"/>
    <col min="8" max="16384" width="8.88671875" style="1"/>
  </cols>
  <sheetData>
    <row r="1" spans="1:7" x14ac:dyDescent="0.3">
      <c r="A1" s="1" t="s">
        <v>0</v>
      </c>
    </row>
    <row r="2" spans="1:7" x14ac:dyDescent="0.3">
      <c r="A2" s="1">
        <v>1</v>
      </c>
      <c r="B2" s="9" t="s">
        <v>1</v>
      </c>
    </row>
    <row r="4" spans="1:7" x14ac:dyDescent="0.3">
      <c r="B4" s="13" t="s">
        <v>2</v>
      </c>
      <c r="C4" s="13" t="s">
        <v>3</v>
      </c>
      <c r="E4" s="15" t="s">
        <v>4</v>
      </c>
      <c r="F4" s="15"/>
    </row>
    <row r="5" spans="1:7" x14ac:dyDescent="0.3">
      <c r="B5" s="13"/>
      <c r="C5" s="14"/>
      <c r="E5" s="13" t="s">
        <v>2</v>
      </c>
      <c r="F5" s="13" t="s">
        <v>3</v>
      </c>
    </row>
    <row r="6" spans="1:7" x14ac:dyDescent="0.3">
      <c r="B6" s="14">
        <v>98</v>
      </c>
      <c r="C6" s="14">
        <v>80</v>
      </c>
      <c r="E6" s="14">
        <f>MAX(B6:B10)-MIN(B6:B10)</f>
        <v>4</v>
      </c>
      <c r="F6" s="14">
        <f>MAX(C6:C10)-MIN(C6:C10)</f>
        <v>40</v>
      </c>
    </row>
    <row r="7" spans="1:7" x14ac:dyDescent="0.3">
      <c r="B7" s="14">
        <v>99</v>
      </c>
      <c r="C7" s="14">
        <v>90</v>
      </c>
    </row>
    <row r="8" spans="1:7" x14ac:dyDescent="0.3">
      <c r="B8" s="14">
        <v>100</v>
      </c>
      <c r="C8" s="14">
        <v>100</v>
      </c>
      <c r="E8" s="1">
        <v>1</v>
      </c>
      <c r="F8" s="10" t="s">
        <v>5</v>
      </c>
    </row>
    <row r="9" spans="1:7" x14ac:dyDescent="0.3">
      <c r="B9" s="14">
        <v>101</v>
      </c>
      <c r="C9" s="14">
        <v>110</v>
      </c>
      <c r="E9" s="1">
        <v>2</v>
      </c>
      <c r="F9" s="10" t="s">
        <v>6</v>
      </c>
    </row>
    <row r="10" spans="1:7" x14ac:dyDescent="0.3">
      <c r="B10" s="14">
        <v>102</v>
      </c>
      <c r="C10" s="14">
        <v>120</v>
      </c>
      <c r="E10" s="1">
        <v>3</v>
      </c>
      <c r="F10" s="10" t="s">
        <v>7</v>
      </c>
    </row>
    <row r="12" spans="1:7" x14ac:dyDescent="0.3">
      <c r="A12" s="1">
        <v>2</v>
      </c>
      <c r="B12" s="11" t="s">
        <v>8</v>
      </c>
      <c r="F12" s="15" t="s">
        <v>14</v>
      </c>
      <c r="G12" s="15"/>
    </row>
    <row r="13" spans="1:7" ht="16.2" thickBot="1" x14ac:dyDescent="0.35">
      <c r="F13" s="13" t="s">
        <v>12</v>
      </c>
      <c r="G13" s="13" t="s">
        <v>13</v>
      </c>
    </row>
    <row r="14" spans="1:7" ht="16.2" thickBot="1" x14ac:dyDescent="0.35">
      <c r="B14" s="2" t="s">
        <v>9</v>
      </c>
      <c r="C14" s="3" t="s">
        <v>10</v>
      </c>
      <c r="D14" s="3" t="s">
        <v>11</v>
      </c>
      <c r="F14" s="14">
        <f>D15/C15*100</f>
        <v>10</v>
      </c>
      <c r="G14" s="14">
        <f>D16/C16*100</f>
        <v>10</v>
      </c>
    </row>
    <row r="15" spans="1:7" ht="16.2" thickBot="1" x14ac:dyDescent="0.35">
      <c r="B15" s="4" t="s">
        <v>12</v>
      </c>
      <c r="C15" s="5">
        <v>50000</v>
      </c>
      <c r="D15" s="5">
        <v>5000</v>
      </c>
    </row>
    <row r="16" spans="1:7" ht="16.2" thickBot="1" x14ac:dyDescent="0.35">
      <c r="B16" s="4" t="s">
        <v>13</v>
      </c>
      <c r="C16" s="5">
        <v>80000</v>
      </c>
      <c r="D16" s="5">
        <v>8000</v>
      </c>
      <c r="F16" s="1">
        <v>1</v>
      </c>
      <c r="G16" s="10" t="s">
        <v>15</v>
      </c>
    </row>
    <row r="17" spans="1:8" x14ac:dyDescent="0.3">
      <c r="F17" s="1">
        <v>2</v>
      </c>
      <c r="G17" s="10" t="s">
        <v>16</v>
      </c>
    </row>
    <row r="19" spans="1:8" x14ac:dyDescent="0.3">
      <c r="A19" s="1">
        <v>3</v>
      </c>
      <c r="B19" s="8" t="s">
        <v>17</v>
      </c>
    </row>
    <row r="20" spans="1:8" ht="16.2" thickBot="1" x14ac:dyDescent="0.35">
      <c r="F20" s="15" t="s">
        <v>14</v>
      </c>
      <c r="G20" s="15"/>
    </row>
    <row r="21" spans="1:8" ht="16.2" thickBot="1" x14ac:dyDescent="0.35">
      <c r="B21" s="3" t="s">
        <v>18</v>
      </c>
      <c r="C21" s="3" t="s">
        <v>19</v>
      </c>
      <c r="D21" s="3" t="s">
        <v>11</v>
      </c>
      <c r="F21" s="13" t="s">
        <v>12</v>
      </c>
      <c r="G21" s="13" t="s">
        <v>13</v>
      </c>
    </row>
    <row r="22" spans="1:8" ht="16.2" thickBot="1" x14ac:dyDescent="0.35">
      <c r="B22" s="4" t="s">
        <v>12</v>
      </c>
      <c r="C22" s="6">
        <v>0.1</v>
      </c>
      <c r="D22" s="6">
        <v>0.02</v>
      </c>
      <c r="F22" s="14">
        <f>D22/C22*100</f>
        <v>20</v>
      </c>
      <c r="G22" s="14">
        <f>D23/C23*100</f>
        <v>25</v>
      </c>
    </row>
    <row r="23" spans="1:8" ht="16.2" thickBot="1" x14ac:dyDescent="0.35">
      <c r="B23" s="4" t="s">
        <v>13</v>
      </c>
      <c r="C23" s="6">
        <v>0.2</v>
      </c>
      <c r="D23" s="6">
        <v>0.05</v>
      </c>
    </row>
    <row r="24" spans="1:8" x14ac:dyDescent="0.3">
      <c r="F24" s="10" t="s">
        <v>20</v>
      </c>
    </row>
    <row r="26" spans="1:8" x14ac:dyDescent="0.3">
      <c r="A26" s="1">
        <v>4</v>
      </c>
      <c r="B26" s="11" t="s">
        <v>21</v>
      </c>
    </row>
    <row r="28" spans="1:8" x14ac:dyDescent="0.3">
      <c r="B28" s="13" t="s">
        <v>22</v>
      </c>
      <c r="C28" s="14" t="s">
        <v>23</v>
      </c>
      <c r="D28" s="14" t="s">
        <v>24</v>
      </c>
      <c r="E28" s="14" t="s">
        <v>25</v>
      </c>
      <c r="F28" s="14" t="s">
        <v>27</v>
      </c>
      <c r="G28" s="14" t="s">
        <v>26</v>
      </c>
      <c r="H28" s="14" t="s">
        <v>28</v>
      </c>
    </row>
    <row r="29" spans="1:8" x14ac:dyDescent="0.3">
      <c r="B29" s="16">
        <v>1</v>
      </c>
      <c r="C29" s="14">
        <f>MIN(B29:B37)</f>
        <v>1</v>
      </c>
      <c r="D29" s="14">
        <f>_xlfn.QUARTILE.INC($B$29:$B$37,1)</f>
        <v>3</v>
      </c>
      <c r="E29" s="14">
        <f>_xlfn.QUARTILE.INC($B$29:$B$37,2)</f>
        <v>5</v>
      </c>
      <c r="F29" s="14">
        <f>_xlfn.QUARTILE.INC($B$29:$B$37,3)</f>
        <v>7</v>
      </c>
      <c r="G29" s="14">
        <f>MAX(B29:B37)</f>
        <v>12</v>
      </c>
      <c r="H29" s="14">
        <f>G29-C29</f>
        <v>11</v>
      </c>
    </row>
    <row r="30" spans="1:8" x14ac:dyDescent="0.3">
      <c r="B30" s="14">
        <v>2</v>
      </c>
    </row>
    <row r="31" spans="1:8" x14ac:dyDescent="0.3">
      <c r="B31" s="14">
        <v>3</v>
      </c>
    </row>
    <row r="32" spans="1:8" x14ac:dyDescent="0.3">
      <c r="B32" s="14">
        <v>4</v>
      </c>
    </row>
    <row r="33" spans="1:7" x14ac:dyDescent="0.3">
      <c r="B33" s="14">
        <v>5</v>
      </c>
    </row>
    <row r="34" spans="1:7" x14ac:dyDescent="0.3">
      <c r="B34" s="14">
        <v>6</v>
      </c>
    </row>
    <row r="35" spans="1:7" x14ac:dyDescent="0.3">
      <c r="B35" s="14">
        <v>7</v>
      </c>
    </row>
    <row r="36" spans="1:7" x14ac:dyDescent="0.3">
      <c r="B36" s="14">
        <v>8</v>
      </c>
    </row>
    <row r="37" spans="1:7" x14ac:dyDescent="0.3">
      <c r="B37" s="14">
        <v>12</v>
      </c>
    </row>
    <row r="39" spans="1:7" x14ac:dyDescent="0.3">
      <c r="A39" s="1">
        <v>5</v>
      </c>
      <c r="B39" s="8" t="s">
        <v>29</v>
      </c>
    </row>
    <row r="41" spans="1:7" x14ac:dyDescent="0.3">
      <c r="B41" s="13" t="s">
        <v>22</v>
      </c>
      <c r="C41" s="14" t="s">
        <v>24</v>
      </c>
      <c r="D41" s="14" t="s">
        <v>27</v>
      </c>
      <c r="E41" s="14" t="s">
        <v>28</v>
      </c>
      <c r="F41" s="14" t="s">
        <v>30</v>
      </c>
      <c r="G41" s="14" t="s">
        <v>31</v>
      </c>
    </row>
    <row r="42" spans="1:7" x14ac:dyDescent="0.3">
      <c r="B42" s="16">
        <v>1</v>
      </c>
      <c r="C42" s="14">
        <f>_xlfn.QUARTILE.INC(B42:B50,1)</f>
        <v>3</v>
      </c>
      <c r="D42" s="14">
        <f>_xlfn.QUARTILE.INC(B42:B50,3)</f>
        <v>7</v>
      </c>
      <c r="E42" s="14">
        <f>D42-C42</f>
        <v>4</v>
      </c>
      <c r="F42" s="14">
        <f>C42-(1.5*E42)</f>
        <v>-3</v>
      </c>
      <c r="G42" s="14">
        <f>D42+(1.5*E42)</f>
        <v>13</v>
      </c>
    </row>
    <row r="43" spans="1:7" x14ac:dyDescent="0.3">
      <c r="B43" s="14">
        <v>2</v>
      </c>
    </row>
    <row r="44" spans="1:7" x14ac:dyDescent="0.3">
      <c r="B44" s="14">
        <v>3</v>
      </c>
    </row>
    <row r="45" spans="1:7" x14ac:dyDescent="0.3">
      <c r="B45" s="14">
        <v>4</v>
      </c>
    </row>
    <row r="46" spans="1:7" x14ac:dyDescent="0.3">
      <c r="B46" s="14">
        <v>5</v>
      </c>
      <c r="D46" s="10" t="s">
        <v>32</v>
      </c>
    </row>
    <row r="47" spans="1:7" x14ac:dyDescent="0.3">
      <c r="B47" s="14">
        <v>6</v>
      </c>
    </row>
    <row r="48" spans="1:7" x14ac:dyDescent="0.3">
      <c r="B48" s="14">
        <v>7</v>
      </c>
    </row>
    <row r="49" spans="1:3" x14ac:dyDescent="0.3">
      <c r="B49" s="14">
        <v>8</v>
      </c>
    </row>
    <row r="50" spans="1:3" x14ac:dyDescent="0.3">
      <c r="B50" s="14">
        <v>12</v>
      </c>
    </row>
    <row r="52" spans="1:3" x14ac:dyDescent="0.3">
      <c r="A52" s="1">
        <v>6</v>
      </c>
      <c r="B52" s="11" t="s">
        <v>33</v>
      </c>
    </row>
    <row r="54" spans="1:3" x14ac:dyDescent="0.3">
      <c r="B54" s="14" t="s">
        <v>34</v>
      </c>
      <c r="C54" s="14">
        <v>10</v>
      </c>
    </row>
    <row r="55" spans="1:3" x14ac:dyDescent="0.3">
      <c r="B55" s="14" t="s">
        <v>24</v>
      </c>
      <c r="C55" s="14">
        <v>20</v>
      </c>
    </row>
    <row r="56" spans="1:3" x14ac:dyDescent="0.3">
      <c r="B56" s="14" t="s">
        <v>25</v>
      </c>
      <c r="C56" s="14">
        <v>25</v>
      </c>
    </row>
    <row r="57" spans="1:3" x14ac:dyDescent="0.3">
      <c r="B57" s="14" t="s">
        <v>27</v>
      </c>
      <c r="C57" s="14">
        <v>40</v>
      </c>
    </row>
    <row r="58" spans="1:3" x14ac:dyDescent="0.3">
      <c r="B58" s="14" t="s">
        <v>26</v>
      </c>
      <c r="C58" s="14">
        <v>45</v>
      </c>
    </row>
    <row r="60" spans="1:3" x14ac:dyDescent="0.3">
      <c r="B60" s="1">
        <v>1</v>
      </c>
      <c r="C60" s="1">
        <f>C57-C55</f>
        <v>20</v>
      </c>
    </row>
    <row r="61" spans="1:3" x14ac:dyDescent="0.3">
      <c r="B61" s="1">
        <v>2</v>
      </c>
      <c r="C61" s="10" t="s">
        <v>35</v>
      </c>
    </row>
    <row r="62" spans="1:3" x14ac:dyDescent="0.3">
      <c r="B62" s="1">
        <v>3</v>
      </c>
      <c r="C62" s="10" t="s">
        <v>36</v>
      </c>
    </row>
    <row r="63" spans="1:3" x14ac:dyDescent="0.3">
      <c r="B63" s="1">
        <v>4</v>
      </c>
      <c r="C63" s="10" t="s">
        <v>37</v>
      </c>
    </row>
    <row r="64" spans="1:3" x14ac:dyDescent="0.3">
      <c r="B64" s="1">
        <v>5</v>
      </c>
      <c r="C64" s="10" t="s">
        <v>38</v>
      </c>
    </row>
    <row r="66" spans="1:8" x14ac:dyDescent="0.3">
      <c r="A66" s="1">
        <v>7</v>
      </c>
      <c r="B66" s="8" t="s">
        <v>39</v>
      </c>
    </row>
    <row r="67" spans="1:8" ht="16.2" thickBot="1" x14ac:dyDescent="0.35"/>
    <row r="68" spans="1:8" ht="16.2" thickBot="1" x14ac:dyDescent="0.35">
      <c r="B68" s="2" t="s">
        <v>40</v>
      </c>
      <c r="C68" s="2" t="s">
        <v>41</v>
      </c>
      <c r="D68" s="2" t="s">
        <v>42</v>
      </c>
      <c r="F68" s="13"/>
      <c r="G68" s="17" t="s">
        <v>41</v>
      </c>
      <c r="H68" s="17" t="s">
        <v>42</v>
      </c>
    </row>
    <row r="69" spans="1:8" ht="16.2" thickBot="1" x14ac:dyDescent="0.35">
      <c r="B69" s="4" t="s">
        <v>23</v>
      </c>
      <c r="C69" s="4">
        <v>20</v>
      </c>
      <c r="D69" s="4">
        <v>10</v>
      </c>
      <c r="F69" s="13" t="s">
        <v>28</v>
      </c>
      <c r="G69" s="14">
        <f>C72-C70</f>
        <v>20</v>
      </c>
      <c r="H69" s="14">
        <f>D72-D70</f>
        <v>40</v>
      </c>
    </row>
    <row r="70" spans="1:8" ht="16.2" thickBot="1" x14ac:dyDescent="0.35">
      <c r="B70" s="4" t="s">
        <v>24</v>
      </c>
      <c r="C70" s="4">
        <v>30</v>
      </c>
      <c r="D70" s="4">
        <v>20</v>
      </c>
      <c r="F70" s="14" t="s">
        <v>4</v>
      </c>
      <c r="G70" s="14">
        <f>C73-C69</f>
        <v>40</v>
      </c>
      <c r="H70" s="14">
        <f>D73-D69</f>
        <v>90</v>
      </c>
    </row>
    <row r="71" spans="1:8" ht="16.2" thickBot="1" x14ac:dyDescent="0.35">
      <c r="B71" s="4" t="s">
        <v>25</v>
      </c>
      <c r="C71" s="4">
        <v>40</v>
      </c>
      <c r="D71" s="4">
        <v>35</v>
      </c>
    </row>
    <row r="72" spans="1:8" ht="16.2" thickBot="1" x14ac:dyDescent="0.35">
      <c r="B72" s="4" t="s">
        <v>27</v>
      </c>
      <c r="C72" s="4">
        <v>50</v>
      </c>
      <c r="D72" s="4">
        <v>60</v>
      </c>
    </row>
    <row r="73" spans="1:8" ht="16.2" thickBot="1" x14ac:dyDescent="0.35">
      <c r="B73" s="4" t="s">
        <v>26</v>
      </c>
      <c r="C73" s="4">
        <v>60</v>
      </c>
      <c r="D73" s="4">
        <v>100</v>
      </c>
    </row>
    <row r="75" spans="1:8" x14ac:dyDescent="0.3">
      <c r="B75" s="1">
        <v>1</v>
      </c>
      <c r="C75" s="1" t="s">
        <v>41</v>
      </c>
    </row>
    <row r="76" spans="1:8" x14ac:dyDescent="0.3">
      <c r="B76" s="1">
        <v>2</v>
      </c>
      <c r="C76" s="1" t="s">
        <v>42</v>
      </c>
    </row>
    <row r="77" spans="1:8" x14ac:dyDescent="0.3">
      <c r="B77" s="1">
        <v>3</v>
      </c>
      <c r="C77" s="1" t="s">
        <v>42</v>
      </c>
    </row>
    <row r="78" spans="1:8" x14ac:dyDescent="0.3">
      <c r="B78" s="1">
        <v>4</v>
      </c>
      <c r="C78" s="1" t="s">
        <v>42</v>
      </c>
    </row>
    <row r="79" spans="1:8" x14ac:dyDescent="0.3">
      <c r="B79" s="1">
        <v>5</v>
      </c>
      <c r="C79" s="10" t="s">
        <v>43</v>
      </c>
    </row>
    <row r="81" spans="1:3" x14ac:dyDescent="0.3">
      <c r="A81" s="1">
        <v>8</v>
      </c>
      <c r="B81" s="7" t="s">
        <v>44</v>
      </c>
    </row>
    <row r="82" spans="1:3" x14ac:dyDescent="0.3">
      <c r="B82" s="7"/>
    </row>
    <row r="83" spans="1:3" x14ac:dyDescent="0.3">
      <c r="B83" s="17" t="s">
        <v>40</v>
      </c>
      <c r="C83" s="14"/>
    </row>
    <row r="84" spans="1:3" x14ac:dyDescent="0.3">
      <c r="B84" s="18" t="s">
        <v>23</v>
      </c>
      <c r="C84" s="14">
        <v>15</v>
      </c>
    </row>
    <row r="85" spans="1:3" x14ac:dyDescent="0.3">
      <c r="B85" s="18" t="s">
        <v>24</v>
      </c>
      <c r="C85" s="14">
        <v>20</v>
      </c>
    </row>
    <row r="86" spans="1:3" x14ac:dyDescent="0.3">
      <c r="B86" s="18" t="s">
        <v>25</v>
      </c>
      <c r="C86" s="14">
        <v>22</v>
      </c>
    </row>
    <row r="87" spans="1:3" x14ac:dyDescent="0.3">
      <c r="B87" s="18" t="s">
        <v>27</v>
      </c>
      <c r="C87" s="14">
        <v>35</v>
      </c>
    </row>
    <row r="88" spans="1:3" x14ac:dyDescent="0.3">
      <c r="B88" s="18" t="s">
        <v>26</v>
      </c>
      <c r="C88" s="14">
        <v>60</v>
      </c>
    </row>
    <row r="90" spans="1:3" x14ac:dyDescent="0.3">
      <c r="B90" s="1">
        <v>1</v>
      </c>
      <c r="C90" s="10" t="s">
        <v>45</v>
      </c>
    </row>
    <row r="91" spans="1:3" x14ac:dyDescent="0.3">
      <c r="B91" s="1">
        <v>2</v>
      </c>
      <c r="C91" s="10" t="s">
        <v>46</v>
      </c>
    </row>
    <row r="92" spans="1:3" x14ac:dyDescent="0.3">
      <c r="B92" s="1">
        <v>3</v>
      </c>
      <c r="C92" s="10" t="s">
        <v>47</v>
      </c>
    </row>
    <row r="93" spans="1:3" x14ac:dyDescent="0.3">
      <c r="B93" s="1">
        <v>4</v>
      </c>
      <c r="C93" s="10" t="s">
        <v>48</v>
      </c>
    </row>
    <row r="95" spans="1:3" x14ac:dyDescent="0.3">
      <c r="A95" s="1">
        <v>9</v>
      </c>
      <c r="B95" s="8" t="s">
        <v>49</v>
      </c>
    </row>
    <row r="97" spans="1:8" x14ac:dyDescent="0.3">
      <c r="B97" s="9" t="s">
        <v>50</v>
      </c>
    </row>
    <row r="98" spans="1:8" x14ac:dyDescent="0.3">
      <c r="B98" s="12" t="s">
        <v>51</v>
      </c>
    </row>
    <row r="99" spans="1:8" x14ac:dyDescent="0.3">
      <c r="B99" s="12" t="s">
        <v>52</v>
      </c>
    </row>
    <row r="100" spans="1:8" x14ac:dyDescent="0.3">
      <c r="B100" s="12" t="s">
        <v>53</v>
      </c>
    </row>
    <row r="101" spans="1:8" x14ac:dyDescent="0.3">
      <c r="B101" s="12" t="s">
        <v>54</v>
      </c>
    </row>
    <row r="103" spans="1:8" x14ac:dyDescent="0.3">
      <c r="B103" s="9" t="s">
        <v>53</v>
      </c>
    </row>
    <row r="105" spans="1:8" x14ac:dyDescent="0.3">
      <c r="A105" s="1">
        <v>10</v>
      </c>
      <c r="B105" s="8" t="s">
        <v>55</v>
      </c>
    </row>
    <row r="106" spans="1:8" ht="16.2" thickBot="1" x14ac:dyDescent="0.35"/>
    <row r="107" spans="1:8" ht="16.2" thickBot="1" x14ac:dyDescent="0.35">
      <c r="B107" s="3" t="s">
        <v>56</v>
      </c>
      <c r="C107" s="3" t="s">
        <v>57</v>
      </c>
      <c r="D107" s="3" t="s">
        <v>11</v>
      </c>
      <c r="F107" s="14"/>
      <c r="G107" s="13" t="s">
        <v>12</v>
      </c>
      <c r="H107" s="13" t="s">
        <v>13</v>
      </c>
    </row>
    <row r="108" spans="1:8" ht="16.2" thickBot="1" x14ac:dyDescent="0.35">
      <c r="B108" s="4" t="s">
        <v>12</v>
      </c>
      <c r="C108" s="4">
        <v>30</v>
      </c>
      <c r="D108" s="4">
        <v>3</v>
      </c>
      <c r="F108" s="13" t="s">
        <v>14</v>
      </c>
      <c r="G108" s="14">
        <f>D108/C108*100</f>
        <v>10</v>
      </c>
      <c r="H108" s="14">
        <f>D109/C109*100</f>
        <v>8</v>
      </c>
    </row>
    <row r="109" spans="1:8" ht="16.2" thickBot="1" x14ac:dyDescent="0.35">
      <c r="B109" s="4" t="s">
        <v>13</v>
      </c>
      <c r="C109" s="4">
        <v>50</v>
      </c>
      <c r="D109" s="4">
        <v>4</v>
      </c>
    </row>
    <row r="111" spans="1:8" x14ac:dyDescent="0.3">
      <c r="B111" s="1">
        <v>2</v>
      </c>
      <c r="C111" s="10" t="s">
        <v>59</v>
      </c>
    </row>
    <row r="112" spans="1:8" x14ac:dyDescent="0.3">
      <c r="B112" s="1">
        <v>3</v>
      </c>
      <c r="C112" s="10" t="s">
        <v>58</v>
      </c>
    </row>
    <row r="113" spans="2:3" x14ac:dyDescent="0.3">
      <c r="B113" s="1">
        <v>4</v>
      </c>
      <c r="C113" s="10" t="s">
        <v>60</v>
      </c>
    </row>
    <row r="114" spans="2:3" x14ac:dyDescent="0.3">
      <c r="B114" s="1">
        <v>5</v>
      </c>
      <c r="C114" s="10" t="s">
        <v>61</v>
      </c>
    </row>
  </sheetData>
  <mergeCells count="3">
    <mergeCell ref="E4:F4"/>
    <mergeCell ref="F12:G12"/>
    <mergeCell ref="F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2026-08-12T12:04:17Z</dcterms:created>
  <dcterms:modified xsi:type="dcterms:W3CDTF">2026-08-12T13:03:39Z</dcterms:modified>
</cp:coreProperties>
</file>